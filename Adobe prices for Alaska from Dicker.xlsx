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Documents/"/>
    </mc:Choice>
  </mc:AlternateContent>
  <xr:revisionPtr revIDLastSave="0" documentId="13_ncr:1_{34080A62-FA30-9A4C-A8F7-F3CCECEEA74D}" xr6:coauthVersionLast="47" xr6:coauthVersionMax="47" xr10:uidLastSave="{00000000-0000-0000-0000-000000000000}"/>
  <bookViews>
    <workbookView xWindow="720" yWindow="11300" windowWidth="31740" windowHeight="13640" xr2:uid="{BC7C5B08-86B6-7D46-807D-FF075FBB0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4" i="1" l="1"/>
  <c r="P15" i="1"/>
  <c r="P16" i="1"/>
  <c r="N14" i="1"/>
  <c r="N15" i="1"/>
  <c r="N16" i="1"/>
  <c r="R13" i="1"/>
  <c r="P13" i="1"/>
  <c r="N13" i="1"/>
  <c r="F5" i="1"/>
  <c r="I5" i="1"/>
  <c r="F6" i="1"/>
  <c r="I6" i="1"/>
  <c r="F7" i="1"/>
  <c r="I7" i="1"/>
  <c r="F8" i="1"/>
  <c r="I8" i="1"/>
  <c r="F9" i="1"/>
  <c r="I9" i="1"/>
  <c r="L14" i="1"/>
  <c r="L15" i="1"/>
  <c r="L16" i="1"/>
  <c r="L13" i="1"/>
  <c r="L19" i="1" s="1"/>
  <c r="I15" i="1"/>
  <c r="I14" i="1"/>
  <c r="F15" i="1"/>
  <c r="F14" i="1"/>
  <c r="I16" i="1"/>
  <c r="F16" i="1"/>
  <c r="I13" i="1"/>
  <c r="I19" i="1" s="1"/>
  <c r="F13" i="1"/>
  <c r="F19" i="1" l="1"/>
</calcChain>
</file>

<file path=xl/sharedStrings.xml><?xml version="1.0" encoding="utf-8"?>
<sst xmlns="http://schemas.openxmlformats.org/spreadsheetml/2006/main" count="23" uniqueCount="17">
  <si>
    <t>units</t>
  </si>
  <si>
    <t>ACROBAT STANDARD DC ENTERPRISESUB RENEW LEVEL 13 50-99 VIPSELECT 3 YEAR COMMIT COM</t>
  </si>
  <si>
    <t>PHOTOSHOP ENTERPRISE SUB RENEWLEVEL 13 50-99 VIP SELECT 3 YEAR COMMIT COM</t>
  </si>
  <si>
    <t>Buy Total</t>
  </si>
  <si>
    <t>INDESIGN - EDITION 4 FOR ENTERPRISE COM LVL13 50 - 99 (3YC)SUB NEW</t>
  </si>
  <si>
    <t>ILLUSTRATOR  ENTERPRISE SUB RENEWLEVEL 13 50-99 VIP SELECT 3 YEAR COMMIT COM</t>
  </si>
  <si>
    <t>Acrobat Standard</t>
  </si>
  <si>
    <t>Ilustrator</t>
  </si>
  <si>
    <t>Photoshop</t>
  </si>
  <si>
    <t>Indesign</t>
  </si>
  <si>
    <t>Correct Sell</t>
  </si>
  <si>
    <t>Correct Total</t>
  </si>
  <si>
    <t>Cost price</t>
  </si>
  <si>
    <t>Old Sell price till 1 August 2026</t>
  </si>
  <si>
    <t>Alaska paid in the 12 months prior to 1 August 2026</t>
  </si>
  <si>
    <t>Alaska should have paid us</t>
  </si>
  <si>
    <t>This is how much the licenses cost us in the 12 months to 1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</si>
</sst>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7" fontId="0" fillId="0" borderId="0" xfId="0" applyNumberFormat="1"/>
    <xf numFmtId="44" fontId="0" fillId="0" borderId="0" xfId="2" applyFont="1"/>
    <xf numFmtId="2" fontId="0" fillId="0" borderId="0" xfId="1" applyNumberFormat="1" applyFont="1"/>
    <xf numFmtId="44" fontId="0" fillId="0" borderId="0" xfId="0" applyNumberFormat="1"/>
    <xf numFmtId="16" fontId="0" fillId="0" borderId="0" xfId="0" applyNumberFormat="1"/>
    <xf numFmtId="8" fontId="0" fillId="0" borderId="0" xfId="0" applyNumberFormat="1"/>
    <xf numFmtId="0" fontId="2" fillId="0" borderId="0" xfId="0" applyFont="1"/>
    <xf numFmtId="8" fontId="2" fillId="0" borderId="0" xfId="0" applyNumberFormat="1" applyFont="1"/>
    <xf numFmtId="44" fontId="0" fillId="0" borderId="0" xfId="2" applyFont="1" applyAlignment="1">
      <alignment wrapText="1"/>
    </xf>
    <xf numFmtId="0" fontId="0" fillId="0" borderId="0" xfId="0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ACED-04C1-B54F-BF8B-857CA3B42E3B}">
  <dimension ref="B4:R19"/>
  <sheetViews>
    <sheetView tabSelected="1" workbookViewId="0">
      <selection activeCell="P13" sqref="P13:P16"/>
    </sheetView>
  </sheetViews>
  <sheetFormatPr baseColWidth="10" defaultRowHeight="16" x14ac:dyDescent="0.2"/>
  <cols>
    <col min="2" max="2" width="10.83203125" customWidth="1"/>
    <col min="3" max="3" width="18.83203125" customWidth="1"/>
    <col min="4" max="4" width="10.83203125" style="3"/>
    <col min="5" max="5" width="10.83203125" style="2"/>
    <col min="6" max="6" width="11.5" style="2" bestFit="1" customWidth="1"/>
    <col min="7" max="7" width="2.83203125" style="2" customWidth="1"/>
    <col min="8" max="8" width="14.6640625" style="2" customWidth="1"/>
    <col min="9" max="9" width="11.5" bestFit="1" customWidth="1"/>
    <col min="10" max="10" width="2.83203125" customWidth="1"/>
    <col min="11" max="11" width="12.1640625" bestFit="1" customWidth="1"/>
    <col min="12" max="12" width="13.1640625" bestFit="1" customWidth="1"/>
    <col min="14" max="14" width="11.5" bestFit="1" customWidth="1"/>
    <col min="16" max="16" width="11.5" bestFit="1" customWidth="1"/>
    <col min="18" max="18" width="11.5" bestFit="1" customWidth="1"/>
  </cols>
  <sheetData>
    <row r="4" spans="2:18" ht="34" x14ac:dyDescent="0.2">
      <c r="B4" s="1">
        <v>45566</v>
      </c>
      <c r="D4" s="3" t="s">
        <v>0</v>
      </c>
      <c r="E4" s="2" t="s">
        <v>12</v>
      </c>
      <c r="F4" s="2" t="s">
        <v>3</v>
      </c>
      <c r="H4" s="9" t="s">
        <v>13</v>
      </c>
      <c r="K4" s="2" t="s">
        <v>10</v>
      </c>
      <c r="L4" s="2" t="s">
        <v>11</v>
      </c>
    </row>
    <row r="5" spans="2:18" x14ac:dyDescent="0.2">
      <c r="C5" t="s">
        <v>1</v>
      </c>
      <c r="D5" s="3">
        <v>78</v>
      </c>
      <c r="E5" s="2">
        <v>232</v>
      </c>
      <c r="F5" s="2">
        <f>E5*D5</f>
        <v>18096</v>
      </c>
      <c r="H5" s="2">
        <v>294</v>
      </c>
      <c r="I5" s="4">
        <f>H5*D5</f>
        <v>22932</v>
      </c>
      <c r="J5" s="4"/>
    </row>
    <row r="6" spans="2:18" x14ac:dyDescent="0.2">
      <c r="C6" t="s">
        <v>5</v>
      </c>
      <c r="D6" s="3">
        <v>1</v>
      </c>
      <c r="E6" s="2">
        <v>612.6</v>
      </c>
      <c r="F6" s="2">
        <f t="shared" ref="F6:F8" si="0">E6*D6</f>
        <v>612.6</v>
      </c>
      <c r="H6" s="2">
        <v>666</v>
      </c>
      <c r="I6" s="4">
        <f t="shared" ref="I6:I8" si="1">H6*D6</f>
        <v>666</v>
      </c>
      <c r="J6" s="4"/>
    </row>
    <row r="7" spans="2:18" x14ac:dyDescent="0.2">
      <c r="C7" t="s">
        <v>2</v>
      </c>
      <c r="D7" s="3">
        <v>1</v>
      </c>
      <c r="E7" s="2">
        <v>612.6</v>
      </c>
      <c r="F7" s="2">
        <f t="shared" si="0"/>
        <v>612.6</v>
      </c>
      <c r="H7" s="2">
        <v>666</v>
      </c>
      <c r="I7" s="4">
        <f t="shared" si="1"/>
        <v>666</v>
      </c>
      <c r="J7" s="4"/>
      <c r="Q7" s="6"/>
    </row>
    <row r="8" spans="2:18" x14ac:dyDescent="0.2">
      <c r="C8" t="s">
        <v>4</v>
      </c>
      <c r="D8" s="3">
        <v>1</v>
      </c>
      <c r="E8" s="2">
        <v>687.94</v>
      </c>
      <c r="F8" s="2">
        <f t="shared" si="0"/>
        <v>687.94</v>
      </c>
      <c r="H8" s="2">
        <v>666</v>
      </c>
      <c r="I8" s="4">
        <f t="shared" si="1"/>
        <v>666</v>
      </c>
      <c r="J8" s="4"/>
      <c r="N8" s="7"/>
      <c r="P8" s="6"/>
      <c r="Q8" s="6"/>
    </row>
    <row r="9" spans="2:18" x14ac:dyDescent="0.2">
      <c r="F9" s="2">
        <f>SUM(F5:F8)</f>
        <v>20009.139999999996</v>
      </c>
      <c r="I9" s="4">
        <f>SUM(I5:I8)</f>
        <v>24930</v>
      </c>
      <c r="J9" s="4"/>
      <c r="N9" s="7"/>
      <c r="P9" s="6"/>
      <c r="Q9" s="6"/>
    </row>
    <row r="10" spans="2:18" x14ac:dyDescent="0.2">
      <c r="N10" s="7"/>
      <c r="P10" s="6"/>
      <c r="Q10" s="6"/>
    </row>
    <row r="11" spans="2:18" x14ac:dyDescent="0.2">
      <c r="N11" s="7"/>
      <c r="P11" s="6"/>
      <c r="Q11" s="6"/>
    </row>
    <row r="12" spans="2:18" ht="34" x14ac:dyDescent="0.2">
      <c r="B12" s="5"/>
      <c r="D12" s="3" t="s">
        <v>0</v>
      </c>
      <c r="E12" s="2" t="s">
        <v>12</v>
      </c>
      <c r="F12" s="2" t="s">
        <v>3</v>
      </c>
      <c r="H12" s="9" t="s">
        <v>13</v>
      </c>
      <c r="K12" s="2" t="s">
        <v>10</v>
      </c>
      <c r="L12" s="2" t="s">
        <v>11</v>
      </c>
      <c r="N12" s="7"/>
      <c r="O12" s="7"/>
      <c r="P12" s="8"/>
      <c r="Q12" s="8"/>
    </row>
    <row r="13" spans="2:18" x14ac:dyDescent="0.2">
      <c r="C13" t="s">
        <v>6</v>
      </c>
      <c r="D13" s="3">
        <v>78</v>
      </c>
      <c r="E13" s="2">
        <v>260</v>
      </c>
      <c r="F13" s="2">
        <f>E13*D13</f>
        <v>20280</v>
      </c>
      <c r="H13" s="2">
        <v>294</v>
      </c>
      <c r="I13" s="4">
        <f>H13*D13</f>
        <v>22932</v>
      </c>
      <c r="J13" s="4"/>
      <c r="K13" s="4">
        <v>427.7</v>
      </c>
      <c r="L13" s="4">
        <f>K13*D13</f>
        <v>33360.6</v>
      </c>
      <c r="N13" s="4">
        <f>L13-I13</f>
        <v>10428.599999999999</v>
      </c>
      <c r="P13" s="4">
        <f>N13/1.15</f>
        <v>9068.347826086956</v>
      </c>
      <c r="R13" s="4">
        <f>P13*1.15</f>
        <v>10428.599999999999</v>
      </c>
    </row>
    <row r="14" spans="2:18" x14ac:dyDescent="0.2">
      <c r="C14" t="s">
        <v>7</v>
      </c>
      <c r="D14" s="3">
        <v>1</v>
      </c>
      <c r="E14" s="2">
        <v>764</v>
      </c>
      <c r="F14" s="2">
        <f t="shared" ref="F14:F15" si="2">E14*D14</f>
        <v>764</v>
      </c>
      <c r="H14" s="2">
        <v>666</v>
      </c>
      <c r="I14" s="4">
        <f t="shared" ref="I14:I15" si="3">H14*D14</f>
        <v>666</v>
      </c>
      <c r="J14" s="4"/>
      <c r="K14" s="4">
        <v>854.36</v>
      </c>
      <c r="L14" s="4">
        <f t="shared" ref="L14:L16" si="4">K14*D14</f>
        <v>854.36</v>
      </c>
      <c r="N14" s="4">
        <f t="shared" ref="N14:N16" si="5">L14-I14</f>
        <v>188.36</v>
      </c>
      <c r="P14" s="4">
        <f t="shared" ref="P14:P16" si="6">N14/1.15</f>
        <v>163.7913043478261</v>
      </c>
    </row>
    <row r="15" spans="2:18" x14ac:dyDescent="0.2">
      <c r="C15" t="s">
        <v>8</v>
      </c>
      <c r="D15" s="3">
        <v>1</v>
      </c>
      <c r="E15" s="2">
        <v>764</v>
      </c>
      <c r="F15" s="2">
        <f t="shared" si="2"/>
        <v>764</v>
      </c>
      <c r="H15" s="2">
        <v>666</v>
      </c>
      <c r="I15" s="4">
        <f t="shared" si="3"/>
        <v>666</v>
      </c>
      <c r="J15" s="4"/>
      <c r="K15" s="4">
        <v>854.36</v>
      </c>
      <c r="L15" s="4">
        <f t="shared" si="4"/>
        <v>854.36</v>
      </c>
      <c r="N15" s="4">
        <f t="shared" si="5"/>
        <v>188.36</v>
      </c>
      <c r="P15" s="4">
        <f t="shared" si="6"/>
        <v>163.7913043478261</v>
      </c>
    </row>
    <row r="16" spans="2:18" x14ac:dyDescent="0.2">
      <c r="C16" t="s">
        <v>9</v>
      </c>
      <c r="D16" s="3">
        <v>8</v>
      </c>
      <c r="E16" s="2">
        <v>658</v>
      </c>
      <c r="F16" s="2">
        <f t="shared" ref="F16" si="7">E16*D16</f>
        <v>5264</v>
      </c>
      <c r="H16" s="2">
        <v>666</v>
      </c>
      <c r="I16" s="4">
        <f t="shared" ref="I16" si="8">H16*D16</f>
        <v>5328</v>
      </c>
      <c r="J16" s="4"/>
      <c r="K16" s="4">
        <v>1228.3699999999999</v>
      </c>
      <c r="L16" s="4">
        <f t="shared" si="4"/>
        <v>9826.9599999999991</v>
      </c>
      <c r="N16" s="4">
        <f t="shared" si="5"/>
        <v>4498.9599999999991</v>
      </c>
      <c r="P16" s="4">
        <f t="shared" si="6"/>
        <v>3912.1391304347821</v>
      </c>
    </row>
    <row r="17" spans="5:12" x14ac:dyDescent="0.2">
      <c r="I17" s="4"/>
      <c r="J17" s="4"/>
      <c r="K17" s="4"/>
      <c r="L17" s="4"/>
    </row>
    <row r="18" spans="5:12" x14ac:dyDescent="0.2">
      <c r="I18" s="4"/>
      <c r="J18" s="4"/>
      <c r="K18" s="4"/>
      <c r="L18" s="4"/>
    </row>
    <row r="19" spans="5:12" ht="119" x14ac:dyDescent="0.2">
      <c r="E19" s="9" t="s">
        <v>16</v>
      </c>
      <c r="F19" s="2">
        <f>SUM(F13:F16)</f>
        <v>27072</v>
      </c>
      <c r="H19" s="9" t="s">
        <v>14</v>
      </c>
      <c r="I19" s="4">
        <f>SUM(I13:I16)</f>
        <v>29592</v>
      </c>
      <c r="J19" s="4"/>
      <c r="K19" s="10" t="s">
        <v>15</v>
      </c>
      <c r="L19" s="4">
        <f>SUM(L13:L16)</f>
        <v>44896.28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Blackman</dc:creator>
  <cp:lastModifiedBy>Michael Blackman</cp:lastModifiedBy>
  <dcterms:created xsi:type="dcterms:W3CDTF">2026-07-23T03:24:48Z</dcterms:created>
  <dcterms:modified xsi:type="dcterms:W3CDTF">2026-08-04T22:08:07Z</dcterms:modified>
</cp:coreProperties>
</file>