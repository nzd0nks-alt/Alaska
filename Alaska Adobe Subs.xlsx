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hael/Documents/"/>
    </mc:Choice>
  </mc:AlternateContent>
  <xr:revisionPtr revIDLastSave="0" documentId="13_ncr:1_{5026E32D-04D0-A14F-A34F-FD6C7B298F91}" xr6:coauthVersionLast="47" xr6:coauthVersionMax="47" xr10:uidLastSave="{00000000-0000-0000-0000-000000000000}"/>
  <bookViews>
    <workbookView xWindow="220" yWindow="1140" windowWidth="28380" windowHeight="14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J8" i="1"/>
  <c r="E8" i="1"/>
  <c r="J7" i="1"/>
  <c r="E7" i="1"/>
  <c r="J6" i="1"/>
  <c r="E6" i="1"/>
  <c r="J5" i="1"/>
  <c r="E5" i="1"/>
  <c r="J4" i="1"/>
  <c r="E4" i="1"/>
  <c r="J3" i="1"/>
  <c r="E3" i="1"/>
  <c r="E10" i="1" s="1"/>
  <c r="J10" i="1" l="1"/>
  <c r="M8" i="1"/>
  <c r="K8" i="1"/>
  <c r="N8" i="1" s="1"/>
  <c r="M7" i="1"/>
  <c r="K7" i="1"/>
  <c r="N7" i="1" s="1"/>
  <c r="M6" i="1"/>
  <c r="K6" i="1"/>
  <c r="N6" i="1" s="1"/>
  <c r="M5" i="1"/>
  <c r="K5" i="1"/>
  <c r="N5" i="1" s="1"/>
  <c r="M4" i="1"/>
  <c r="K4" i="1"/>
  <c r="N4" i="1" s="1"/>
  <c r="M3" i="1"/>
  <c r="K3" i="1"/>
  <c r="O6" i="1" l="1"/>
  <c r="Q6" i="1" s="1"/>
  <c r="M10" i="1"/>
  <c r="N3" i="1"/>
  <c r="K10" i="1"/>
  <c r="O5" i="1"/>
  <c r="Q5" i="1" s="1"/>
  <c r="O4" i="1"/>
  <c r="Q4" i="1" s="1"/>
  <c r="O8" i="1"/>
  <c r="Q8" i="1" s="1"/>
  <c r="O7" i="1"/>
  <c r="Q7" i="1" s="1"/>
  <c r="N10" i="1" l="1"/>
  <c r="O3" i="1"/>
  <c r="O10" i="1" l="1"/>
  <c r="Q3" i="1"/>
  <c r="Q10" i="1" s="1"/>
</calcChain>
</file>

<file path=xl/sharedStrings.xml><?xml version="1.0" encoding="utf-8"?>
<sst xmlns="http://schemas.openxmlformats.org/spreadsheetml/2006/main" count="25" uniqueCount="23">
  <si>
    <t>Current Licensing</t>
  </si>
  <si>
    <t>Product / License</t>
  </si>
  <si>
    <t>Adobe Acrobat Standard for Teams</t>
  </si>
  <si>
    <t>Adobe InDesign for Teams</t>
  </si>
  <si>
    <t>Adobe Acrobat Pro for Enterprise</t>
  </si>
  <si>
    <t>Adobe Photoshop for Teams</t>
  </si>
  <si>
    <t>Adobe Illustrator for Teams</t>
  </si>
  <si>
    <t>Adobe Express for Teams</t>
  </si>
  <si>
    <t>Monthly</t>
  </si>
  <si>
    <t>Annual</t>
  </si>
  <si>
    <t>Total</t>
  </si>
  <si>
    <t>Total Seats</t>
  </si>
  <si>
    <t>Existing</t>
  </si>
  <si>
    <t>% to be Annual</t>
  </si>
  <si>
    <t>New Ann</t>
  </si>
  <si>
    <t>New Mth</t>
  </si>
  <si>
    <t xml:space="preserve"> No Ann Seats</t>
  </si>
  <si>
    <t>Proposed</t>
  </si>
  <si>
    <t>New Costs</t>
  </si>
  <si>
    <t>Savings</t>
  </si>
  <si>
    <t>Combined</t>
  </si>
  <si>
    <t>Cost Per</t>
  </si>
  <si>
    <t>Check users using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</si>
</sst>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&quot;%&quot;"/>
  </numFmts>
  <fonts count="13" x14ac:knownFonts="1">
    <font>
      <sz val="10"/>
      <color rgb="FF000000"/>
      <name val="Arial"/>
      <scheme val="minor"/>
    </font>
    <font>
      <sz val="12"/>
      <color rgb="FF3F3F76"/>
      <name val="Arial"/>
      <family val="2"/>
      <scheme val="minor"/>
    </font>
    <font>
      <sz val="10"/>
      <color rgb="FF000000"/>
      <name val="Calibri"/>
      <family val="2"/>
    </font>
    <font>
      <b/>
      <sz val="10"/>
      <color rgb="FF006033"/>
      <name val="Calibri"/>
      <family val="2"/>
    </font>
    <font>
      <b/>
      <sz val="10"/>
      <color rgb="FF164874"/>
      <name val="Calibri"/>
      <family val="2"/>
    </font>
    <font>
      <b/>
      <sz val="10"/>
      <color rgb="FF1F4776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4" tint="-0.499984740745262"/>
      <name val="Calibri"/>
      <family val="2"/>
    </font>
    <font>
      <sz val="10"/>
      <color theme="4" tint="-0.499984740745262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color rgb="FF3F3F76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FCF4"/>
        <bgColor rgb="FFEFFCF4"/>
      </patternFill>
    </fill>
    <fill>
      <patternFill patternType="solid">
        <fgColor rgb="FFF8F8FF"/>
        <bgColor rgb="FFF8F8FF"/>
      </patternFill>
    </fill>
    <fill>
      <patternFill patternType="solid">
        <fgColor rgb="FFD5E3F7"/>
        <bgColor rgb="FFD5E3F7"/>
      </patternFill>
    </fill>
    <fill>
      <patternFill patternType="solid">
        <fgColor rgb="FFDCFBE7"/>
        <bgColor rgb="FFDCFBE7"/>
      </patternFill>
    </fill>
    <fill>
      <patternFill patternType="solid">
        <fgColor rgb="FFFFCC99"/>
      </patternFill>
    </fill>
    <fill>
      <patternFill patternType="solid">
        <fgColor theme="4" tint="0.39997558519241921"/>
        <bgColor rgb="FFD7E2F8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4" tint="0.39997558519241921"/>
        <bgColor rgb="FF16487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35608E"/>
      </patternFill>
    </fill>
  </fills>
  <borders count="6">
    <border>
      <left/>
      <right/>
      <top/>
      <bottom/>
      <diagonal/>
    </border>
    <border>
      <left/>
      <right/>
      <top/>
      <bottom style="thin">
        <color rgb="FFE1E8EF"/>
      </bottom>
      <diagonal/>
    </border>
    <border>
      <left/>
      <right/>
      <top style="thin">
        <color rgb="FFE1E8EF"/>
      </top>
      <bottom style="thin">
        <color rgb="FFE1E8EF"/>
      </bottom>
      <diagonal/>
    </border>
    <border>
      <left/>
      <right/>
      <top style="thin">
        <color rgb="FFE1E8EF"/>
      </top>
      <bottom/>
      <diagonal/>
    </border>
    <border>
      <left/>
      <right/>
      <top style="thin">
        <color rgb="FF35608E"/>
      </top>
      <bottom style="double">
        <color rgb="FF16487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7" borderId="5" applyNumberFormat="0" applyAlignment="0" applyProtection="0"/>
  </cellStyleXfs>
  <cellXfs count="48">
    <xf numFmtId="0" fontId="0" fillId="0" borderId="0" xfId="0"/>
    <xf numFmtId="0" fontId="2" fillId="0" borderId="0" xfId="0" applyFont="1"/>
    <xf numFmtId="164" fontId="3" fillId="3" borderId="1" xfId="0" applyNumberFormat="1" applyFont="1" applyFill="1" applyBorder="1" applyAlignment="1">
      <alignment horizontal="right" vertical="center"/>
    </xf>
    <xf numFmtId="164" fontId="3" fillId="3" borderId="2" xfId="0" applyNumberFormat="1" applyFont="1" applyFill="1" applyBorder="1" applyAlignment="1">
      <alignment horizontal="right" vertical="center"/>
    </xf>
    <xf numFmtId="164" fontId="3" fillId="3" borderId="3" xfId="0" applyNumberFormat="1" applyFont="1" applyFill="1" applyBorder="1" applyAlignment="1">
      <alignment horizontal="right" vertical="center"/>
    </xf>
    <xf numFmtId="0" fontId="4" fillId="5" borderId="4" xfId="0" applyFont="1" applyFill="1" applyBorder="1" applyAlignment="1">
      <alignment vertical="center"/>
    </xf>
    <xf numFmtId="0" fontId="6" fillId="8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/>
    </xf>
    <xf numFmtId="0" fontId="7" fillId="11" borderId="0" xfId="0" applyFont="1" applyFill="1"/>
    <xf numFmtId="0" fontId="8" fillId="8" borderId="0" xfId="0" applyFont="1" applyFill="1" applyAlignment="1">
      <alignment horizontal="right" vertical="center" wrapText="1"/>
    </xf>
    <xf numFmtId="0" fontId="5" fillId="8" borderId="0" xfId="0" applyFont="1" applyFill="1" applyAlignment="1">
      <alignment horizontal="right" vertical="center" wrapText="1"/>
    </xf>
    <xf numFmtId="0" fontId="7" fillId="9" borderId="0" xfId="0" applyFont="1" applyFill="1" applyAlignment="1">
      <alignment vertical="center"/>
    </xf>
    <xf numFmtId="0" fontId="8" fillId="12" borderId="0" xfId="0" applyFont="1" applyFill="1" applyAlignment="1">
      <alignment horizontal="left" vertical="center" wrapText="1"/>
    </xf>
    <xf numFmtId="0" fontId="8" fillId="12" borderId="0" xfId="0" applyFont="1" applyFill="1" applyAlignment="1">
      <alignment horizontal="right" vertical="center" wrapText="1"/>
    </xf>
    <xf numFmtId="0" fontId="9" fillId="9" borderId="0" xfId="0" applyFont="1" applyFill="1" applyAlignment="1">
      <alignment horizontal="right" vertical="center"/>
    </xf>
    <xf numFmtId="0" fontId="9" fillId="9" borderId="0" xfId="0" applyFont="1" applyFill="1" applyAlignment="1">
      <alignment vertical="center"/>
    </xf>
    <xf numFmtId="0" fontId="7" fillId="0" borderId="1" xfId="0" applyFont="1" applyBorder="1" applyAlignment="1">
      <alignment vertical="center"/>
    </xf>
    <xf numFmtId="3" fontId="7" fillId="0" borderId="1" xfId="0" applyNumberFormat="1" applyFont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0" fontId="7" fillId="2" borderId="1" xfId="0" applyFont="1" applyFill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3" fontId="7" fillId="4" borderId="2" xfId="0" applyNumberFormat="1" applyFont="1" applyFill="1" applyBorder="1" applyAlignment="1">
      <alignment horizontal="right" vertical="center"/>
    </xf>
    <xf numFmtId="164" fontId="7" fillId="4" borderId="2" xfId="0" applyNumberFormat="1" applyFont="1" applyFill="1" applyBorder="1" applyAlignment="1">
      <alignment horizontal="right" vertical="center"/>
    </xf>
    <xf numFmtId="0" fontId="7" fillId="2" borderId="2" xfId="0" applyFont="1" applyFill="1" applyBorder="1" applyAlignment="1">
      <alignment vertical="center"/>
    </xf>
    <xf numFmtId="0" fontId="7" fillId="0" borderId="2" xfId="0" applyFont="1" applyBorder="1" applyAlignment="1">
      <alignment vertical="center"/>
    </xf>
    <xf numFmtId="3" fontId="7" fillId="0" borderId="2" xfId="0" applyNumberFormat="1" applyFont="1" applyBorder="1" applyAlignment="1">
      <alignment horizontal="right" vertical="center"/>
    </xf>
    <xf numFmtId="164" fontId="7" fillId="0" borderId="2" xfId="0" applyNumberFormat="1" applyFont="1" applyBorder="1" applyAlignment="1">
      <alignment horizontal="right" vertical="center"/>
    </xf>
    <xf numFmtId="0" fontId="7" fillId="4" borderId="3" xfId="0" applyFont="1" applyFill="1" applyBorder="1" applyAlignment="1">
      <alignment vertical="center"/>
    </xf>
    <xf numFmtId="3" fontId="7" fillId="4" borderId="3" xfId="0" applyNumberFormat="1" applyFont="1" applyFill="1" applyBorder="1" applyAlignment="1">
      <alignment horizontal="right" vertical="center"/>
    </xf>
    <xf numFmtId="164" fontId="7" fillId="4" borderId="3" xfId="0" applyNumberFormat="1" applyFont="1" applyFill="1" applyBorder="1" applyAlignment="1">
      <alignment horizontal="right" vertical="center"/>
    </xf>
    <xf numFmtId="0" fontId="7" fillId="2" borderId="3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6" fillId="8" borderId="0" xfId="0" applyFont="1" applyFill="1" applyAlignment="1">
      <alignment horizontal="center" vertical="center" wrapText="1"/>
    </xf>
    <xf numFmtId="0" fontId="11" fillId="2" borderId="4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right" vertical="center"/>
    </xf>
    <xf numFmtId="0" fontId="11" fillId="0" borderId="0" xfId="0" applyFont="1" applyFill="1" applyBorder="1" applyAlignment="1">
      <alignment vertical="center"/>
    </xf>
    <xf numFmtId="0" fontId="10" fillId="0" borderId="0" xfId="0" applyFont="1" applyFill="1" applyBorder="1"/>
    <xf numFmtId="0" fontId="11" fillId="0" borderId="0" xfId="0" applyFont="1" applyFill="1" applyBorder="1" applyAlignment="1">
      <alignment horizontal="right" vertical="center" wrapText="1"/>
    </xf>
    <xf numFmtId="3" fontId="10" fillId="0" borderId="0" xfId="0" applyNumberFormat="1" applyFont="1" applyFill="1" applyBorder="1" applyAlignment="1">
      <alignment horizontal="right" vertical="center"/>
    </xf>
    <xf numFmtId="3" fontId="11" fillId="0" borderId="0" xfId="0" applyNumberFormat="1" applyFont="1" applyFill="1" applyBorder="1" applyAlignment="1">
      <alignment horizontal="right" vertical="center"/>
    </xf>
    <xf numFmtId="3" fontId="11" fillId="5" borderId="4" xfId="0" applyNumberFormat="1" applyFont="1" applyFill="1" applyBorder="1" applyAlignment="1">
      <alignment horizontal="right" vertical="center"/>
    </xf>
    <xf numFmtId="0" fontId="11" fillId="5" borderId="4" xfId="0" applyFont="1" applyFill="1" applyBorder="1" applyAlignment="1">
      <alignment vertical="center"/>
    </xf>
    <xf numFmtId="164" fontId="11" fillId="5" borderId="4" xfId="0" applyNumberFormat="1" applyFont="1" applyFill="1" applyBorder="1" applyAlignment="1">
      <alignment horizontal="right" vertical="center"/>
    </xf>
    <xf numFmtId="164" fontId="11" fillId="6" borderId="4" xfId="0" applyNumberFormat="1" applyFont="1" applyFill="1" applyBorder="1" applyAlignment="1">
      <alignment horizontal="right" vertical="center"/>
    </xf>
    <xf numFmtId="165" fontId="12" fillId="7" borderId="5" xfId="1" applyNumberFormat="1" applyFont="1" applyAlignment="1">
      <alignment horizontal="right" vertical="center"/>
    </xf>
    <xf numFmtId="3" fontId="12" fillId="7" borderId="5" xfId="1" applyNumberFormat="1" applyFont="1" applyAlignment="1">
      <alignment horizontal="righ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"/>
  <sheetViews>
    <sheetView tabSelected="1" zoomScale="140" zoomScaleNormal="140" workbookViewId="0">
      <pane ySplit="2" topLeftCell="A3" activePane="bottomLeft" state="frozen"/>
      <selection pane="bottomLeft" activeCell="R4" sqref="R4"/>
    </sheetView>
  </sheetViews>
  <sheetFormatPr baseColWidth="10" defaultColWidth="12.6640625" defaultRowHeight="15.75" customHeight="1" x14ac:dyDescent="0.2"/>
  <cols>
    <col min="1" max="1" width="32.6640625" style="1" customWidth="1"/>
    <col min="2" max="2" width="8" style="1" bestFit="1" customWidth="1"/>
    <col min="3" max="3" width="6.83203125" style="1" bestFit="1" customWidth="1"/>
    <col min="4" max="4" width="10.1640625" style="1" customWidth="1"/>
    <col min="5" max="5" width="8.83203125" style="1" bestFit="1" customWidth="1"/>
    <col min="6" max="6" width="3.1640625" style="1" customWidth="1"/>
    <col min="7" max="7" width="3.1640625" style="38" customWidth="1"/>
    <col min="8" max="8" width="11.5" style="1" bestFit="1" customWidth="1"/>
    <col min="9" max="9" width="10.6640625" style="1" bestFit="1" customWidth="1"/>
    <col min="10" max="10" width="7.5" style="1" bestFit="1" customWidth="1"/>
    <col min="11" max="11" width="7.6640625" style="1" bestFit="1" customWidth="1"/>
    <col min="12" max="12" width="7.6640625" style="38" customWidth="1"/>
    <col min="13" max="15" width="8.83203125" style="1" bestFit="1" customWidth="1"/>
    <col min="16" max="16" width="3.1640625" style="1" customWidth="1"/>
    <col min="17" max="17" width="8" style="1" bestFit="1" customWidth="1"/>
    <col min="18" max="16384" width="12.6640625" style="1"/>
  </cols>
  <sheetData>
    <row r="1" spans="1:18" ht="22.5" customHeight="1" x14ac:dyDescent="0.2">
      <c r="A1" s="6" t="s">
        <v>0</v>
      </c>
      <c r="B1" s="6"/>
      <c r="C1" s="6" t="s">
        <v>21</v>
      </c>
      <c r="D1" s="6"/>
      <c r="E1" s="33" t="s">
        <v>12</v>
      </c>
      <c r="F1" s="11"/>
      <c r="G1" s="35"/>
      <c r="H1" s="7" t="s">
        <v>17</v>
      </c>
      <c r="I1" s="8"/>
      <c r="J1" s="8"/>
      <c r="K1" s="8"/>
      <c r="M1" s="7" t="s">
        <v>18</v>
      </c>
      <c r="N1" s="8"/>
      <c r="O1" s="8"/>
      <c r="P1" s="8"/>
      <c r="Q1" s="8"/>
    </row>
    <row r="2" spans="1:18" ht="27" customHeight="1" x14ac:dyDescent="0.2">
      <c r="A2" s="12" t="s">
        <v>1</v>
      </c>
      <c r="B2" s="13" t="s">
        <v>11</v>
      </c>
      <c r="C2" s="9" t="s">
        <v>8</v>
      </c>
      <c r="D2" s="9" t="s">
        <v>9</v>
      </c>
      <c r="E2" s="10" t="s">
        <v>10</v>
      </c>
      <c r="F2" s="14"/>
      <c r="G2" s="36"/>
      <c r="H2" s="10" t="s">
        <v>13</v>
      </c>
      <c r="I2" s="10" t="s">
        <v>16</v>
      </c>
      <c r="J2" s="10" t="s">
        <v>14</v>
      </c>
      <c r="K2" s="10" t="s">
        <v>15</v>
      </c>
      <c r="L2" s="39"/>
      <c r="M2" s="10" t="s">
        <v>9</v>
      </c>
      <c r="N2" s="13" t="s">
        <v>8</v>
      </c>
      <c r="O2" s="13" t="s">
        <v>20</v>
      </c>
      <c r="P2" s="15"/>
      <c r="Q2" s="13" t="s">
        <v>19</v>
      </c>
    </row>
    <row r="3" spans="1:18" ht="19.5" customHeight="1" x14ac:dyDescent="0.2">
      <c r="A3" s="16" t="s">
        <v>2</v>
      </c>
      <c r="B3" s="17">
        <v>78</v>
      </c>
      <c r="C3" s="18">
        <v>35.64</v>
      </c>
      <c r="D3" s="18">
        <v>344.06</v>
      </c>
      <c r="E3" s="18">
        <f t="shared" ref="E3:E8" si="0">B3*C3*12</f>
        <v>33359.040000000001</v>
      </c>
      <c r="F3" s="19"/>
      <c r="G3" s="35"/>
      <c r="H3" s="46">
        <v>50</v>
      </c>
      <c r="I3" s="47"/>
      <c r="J3" s="17">
        <f t="shared" ref="J3:J8" si="1">IF(ISNUMBER(I3), I3, ROUND(B3*(H3/100), 0))</f>
        <v>39</v>
      </c>
      <c r="K3" s="17">
        <f t="shared" ref="K3:K8" si="2">B3-J3</f>
        <v>39</v>
      </c>
      <c r="L3" s="40"/>
      <c r="M3" s="18">
        <f t="shared" ref="M3:M8" si="3">J3*D3</f>
        <v>13418.34</v>
      </c>
      <c r="N3" s="18">
        <f t="shared" ref="N3:N8" si="4">K3*C3*12</f>
        <v>16679.52</v>
      </c>
      <c r="O3" s="18">
        <f t="shared" ref="O3:O8" si="5">M3+N3</f>
        <v>30097.86</v>
      </c>
      <c r="P3" s="19"/>
      <c r="Q3" s="2">
        <f t="shared" ref="Q3:Q8" si="6">E3-O3</f>
        <v>3261.1800000000003</v>
      </c>
    </row>
    <row r="4" spans="1:18" ht="19.5" customHeight="1" x14ac:dyDescent="0.2">
      <c r="A4" s="20" t="s">
        <v>3</v>
      </c>
      <c r="B4" s="21">
        <v>8</v>
      </c>
      <c r="C4" s="22">
        <v>102.36</v>
      </c>
      <c r="D4" s="22">
        <v>858.35</v>
      </c>
      <c r="E4" s="22">
        <f t="shared" si="0"/>
        <v>9826.56</v>
      </c>
      <c r="F4" s="23"/>
      <c r="G4" s="35"/>
      <c r="H4" s="46">
        <v>0</v>
      </c>
      <c r="I4" s="47"/>
      <c r="J4" s="21">
        <f t="shared" si="1"/>
        <v>0</v>
      </c>
      <c r="K4" s="21">
        <f t="shared" si="2"/>
        <v>8</v>
      </c>
      <c r="L4" s="40"/>
      <c r="M4" s="22">
        <f t="shared" si="3"/>
        <v>0</v>
      </c>
      <c r="N4" s="22">
        <f t="shared" si="4"/>
        <v>9826.56</v>
      </c>
      <c r="O4" s="22">
        <f t="shared" si="5"/>
        <v>9826.56</v>
      </c>
      <c r="P4" s="23"/>
      <c r="Q4" s="3">
        <f t="shared" si="6"/>
        <v>0</v>
      </c>
      <c r="R4" s="1" t="s">
        <v>22</v>
      </c>
    </row>
    <row r="5" spans="1:18" ht="19.5" customHeight="1" x14ac:dyDescent="0.2">
      <c r="A5" s="24" t="s">
        <v>4</v>
      </c>
      <c r="B5" s="25">
        <v>2</v>
      </c>
      <c r="C5" s="26">
        <v>43.7</v>
      </c>
      <c r="D5" s="26">
        <v>603.67999999999995</v>
      </c>
      <c r="E5" s="26">
        <f t="shared" si="0"/>
        <v>1048.8000000000002</v>
      </c>
      <c r="F5" s="23"/>
      <c r="G5" s="35"/>
      <c r="H5" s="46">
        <v>0</v>
      </c>
      <c r="I5" s="47"/>
      <c r="J5" s="25">
        <f t="shared" si="1"/>
        <v>0</v>
      </c>
      <c r="K5" s="25">
        <f t="shared" si="2"/>
        <v>2</v>
      </c>
      <c r="L5" s="40"/>
      <c r="M5" s="26">
        <f t="shared" si="3"/>
        <v>0</v>
      </c>
      <c r="N5" s="26">
        <f t="shared" si="4"/>
        <v>1048.8000000000002</v>
      </c>
      <c r="O5" s="26">
        <f t="shared" si="5"/>
        <v>1048.8000000000002</v>
      </c>
      <c r="P5" s="23"/>
      <c r="Q5" s="3">
        <f t="shared" si="6"/>
        <v>0</v>
      </c>
    </row>
    <row r="6" spans="1:18" ht="19.5" customHeight="1" x14ac:dyDescent="0.2">
      <c r="A6" s="20" t="s">
        <v>5</v>
      </c>
      <c r="B6" s="21">
        <v>1</v>
      </c>
      <c r="C6" s="22">
        <v>71.2</v>
      </c>
      <c r="D6" s="22">
        <v>805.01</v>
      </c>
      <c r="E6" s="22">
        <f t="shared" si="0"/>
        <v>854.40000000000009</v>
      </c>
      <c r="F6" s="23"/>
      <c r="G6" s="35"/>
      <c r="H6" s="46">
        <v>0</v>
      </c>
      <c r="I6" s="47"/>
      <c r="J6" s="21">
        <f t="shared" si="1"/>
        <v>0</v>
      </c>
      <c r="K6" s="21">
        <f t="shared" si="2"/>
        <v>1</v>
      </c>
      <c r="L6" s="40"/>
      <c r="M6" s="22">
        <f t="shared" si="3"/>
        <v>0</v>
      </c>
      <c r="N6" s="22">
        <f t="shared" si="4"/>
        <v>854.40000000000009</v>
      </c>
      <c r="O6" s="22">
        <f t="shared" si="5"/>
        <v>854.40000000000009</v>
      </c>
      <c r="P6" s="23"/>
      <c r="Q6" s="3">
        <f t="shared" si="6"/>
        <v>0</v>
      </c>
    </row>
    <row r="7" spans="1:18" ht="19.5" customHeight="1" x14ac:dyDescent="0.2">
      <c r="A7" s="24" t="s">
        <v>6</v>
      </c>
      <c r="B7" s="25">
        <v>1</v>
      </c>
      <c r="C7" s="26">
        <v>71.2</v>
      </c>
      <c r="D7" s="26">
        <v>805.01</v>
      </c>
      <c r="E7" s="26">
        <f t="shared" si="0"/>
        <v>854.40000000000009</v>
      </c>
      <c r="F7" s="23"/>
      <c r="G7" s="35"/>
      <c r="H7" s="46">
        <v>0</v>
      </c>
      <c r="I7" s="47"/>
      <c r="J7" s="25">
        <f t="shared" si="1"/>
        <v>0</v>
      </c>
      <c r="K7" s="25">
        <f t="shared" si="2"/>
        <v>1</v>
      </c>
      <c r="L7" s="40"/>
      <c r="M7" s="26">
        <f t="shared" si="3"/>
        <v>0</v>
      </c>
      <c r="N7" s="26">
        <f t="shared" si="4"/>
        <v>854.40000000000009</v>
      </c>
      <c r="O7" s="26">
        <f t="shared" si="5"/>
        <v>854.40000000000009</v>
      </c>
      <c r="P7" s="23"/>
      <c r="Q7" s="3">
        <f t="shared" si="6"/>
        <v>0</v>
      </c>
    </row>
    <row r="8" spans="1:18" ht="19.5" customHeight="1" x14ac:dyDescent="0.2">
      <c r="A8" s="27" t="s">
        <v>7</v>
      </c>
      <c r="B8" s="28">
        <v>1</v>
      </c>
      <c r="C8" s="29">
        <v>19.32</v>
      </c>
      <c r="D8" s="29">
        <v>122.95</v>
      </c>
      <c r="E8" s="29">
        <f t="shared" si="0"/>
        <v>231.84</v>
      </c>
      <c r="F8" s="30"/>
      <c r="G8" s="35"/>
      <c r="H8" s="46">
        <v>0</v>
      </c>
      <c r="I8" s="47"/>
      <c r="J8" s="28">
        <f t="shared" si="1"/>
        <v>0</v>
      </c>
      <c r="K8" s="28">
        <f t="shared" si="2"/>
        <v>1</v>
      </c>
      <c r="L8" s="40"/>
      <c r="M8" s="29">
        <f t="shared" si="3"/>
        <v>0</v>
      </c>
      <c r="N8" s="29">
        <f t="shared" si="4"/>
        <v>231.84</v>
      </c>
      <c r="O8" s="29">
        <f t="shared" si="5"/>
        <v>231.84</v>
      </c>
      <c r="P8" s="30"/>
      <c r="Q8" s="4">
        <f t="shared" si="6"/>
        <v>0</v>
      </c>
    </row>
    <row r="9" spans="1:18" ht="10.5" customHeight="1" x14ac:dyDescent="0.2">
      <c r="A9" s="31"/>
      <c r="B9" s="31"/>
      <c r="C9" s="31"/>
      <c r="D9" s="31"/>
      <c r="E9" s="31"/>
      <c r="F9" s="32"/>
      <c r="G9" s="35"/>
      <c r="H9" s="31"/>
      <c r="I9" s="31"/>
      <c r="J9" s="31"/>
      <c r="K9" s="31"/>
      <c r="L9" s="35"/>
      <c r="M9" s="31"/>
      <c r="N9" s="31"/>
      <c r="O9" s="31"/>
      <c r="P9" s="32"/>
      <c r="Q9" s="31"/>
    </row>
    <row r="10" spans="1:18" ht="21" customHeight="1" x14ac:dyDescent="0.2">
      <c r="A10" s="5"/>
      <c r="B10" s="42">
        <f>SUM(B3:B8)</f>
        <v>91</v>
      </c>
      <c r="C10" s="43"/>
      <c r="D10" s="43"/>
      <c r="E10" s="44">
        <f>SUM(E3:E8)</f>
        <v>46175.040000000001</v>
      </c>
      <c r="F10" s="34"/>
      <c r="G10" s="37"/>
      <c r="H10" s="43"/>
      <c r="I10" s="43"/>
      <c r="J10" s="42">
        <f t="shared" ref="J10:O10" si="7">SUM(J3:J8)</f>
        <v>39</v>
      </c>
      <c r="K10" s="42">
        <f t="shared" si="7"/>
        <v>52</v>
      </c>
      <c r="L10" s="41"/>
      <c r="M10" s="44">
        <f t="shared" si="7"/>
        <v>13418.34</v>
      </c>
      <c r="N10" s="44">
        <f t="shared" si="7"/>
        <v>29495.520000000004</v>
      </c>
      <c r="O10" s="44">
        <f t="shared" si="7"/>
        <v>42913.86</v>
      </c>
      <c r="P10" s="34"/>
      <c r="Q10" s="45">
        <f>SUM(Q3:Q8)</f>
        <v>3261.1800000000003</v>
      </c>
    </row>
  </sheetData>
  <mergeCells count="4">
    <mergeCell ref="A1:B1"/>
    <mergeCell ref="C1:D1"/>
    <mergeCell ref="H1:K1"/>
    <mergeCell ref="M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Blackman</cp:lastModifiedBy>
  <dcterms:modified xsi:type="dcterms:W3CDTF">2026-09-08T11:34:01Z</dcterms:modified>
</cp:coreProperties>
</file>