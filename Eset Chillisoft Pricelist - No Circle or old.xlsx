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hael/Documents/"/>
    </mc:Choice>
  </mc:AlternateContent>
  <xr:revisionPtr revIDLastSave="0" documentId="13_ncr:1_{AFFB9FC7-D948-D04A-8194-E72E37987FA8}" xr6:coauthVersionLast="47" xr6:coauthVersionMax="47" xr10:uidLastSave="{00000000-0000-0000-0000-000000000000}"/>
  <bookViews>
    <workbookView xWindow="0" yWindow="620" windowWidth="32540" windowHeight="20980" xr2:uid="{00000000-000D-0000-FFFF-FFFF00000000}"/>
  </bookViews>
  <sheets>
    <sheet name="ESET Client Pricing" sheetId="1" r:id="rId1"/>
    <sheet name="Price Book Reference" sheetId="2" r:id="rId2"/>
  </sheets>
  <definedNames>
    <definedName name="_xlnm._FilterDatabase" localSheetId="0" hidden="1">'ESET Client Pricing'!$A$1:$E$30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H29" i="1"/>
  <c r="E23" i="1"/>
  <c r="H28" i="1"/>
  <c r="E18" i="1"/>
  <c r="H27" i="1"/>
  <c r="E24" i="1"/>
  <c r="H26" i="1"/>
  <c r="E22" i="1"/>
  <c r="H25" i="1"/>
  <c r="E12" i="1"/>
  <c r="H24" i="1"/>
  <c r="E19" i="1"/>
  <c r="H23" i="1"/>
  <c r="E5" i="1"/>
  <c r="H22" i="1"/>
  <c r="E26" i="1"/>
  <c r="H21" i="1"/>
  <c r="E11" i="1"/>
  <c r="H20" i="1"/>
  <c r="E8" i="1"/>
  <c r="H19" i="1"/>
  <c r="E28" i="1"/>
  <c r="H18" i="1"/>
  <c r="E4" i="1"/>
  <c r="H17" i="1"/>
  <c r="E25" i="1"/>
  <c r="H16" i="1"/>
  <c r="E27" i="1"/>
  <c r="H15" i="1"/>
  <c r="E15" i="1"/>
  <c r="H14" i="1"/>
  <c r="E10" i="1"/>
  <c r="H13" i="1"/>
  <c r="E17" i="1"/>
  <c r="H12" i="1"/>
  <c r="E21" i="1"/>
  <c r="H11" i="1"/>
  <c r="E9" i="1"/>
  <c r="H10" i="1"/>
  <c r="E3" i="1"/>
  <c r="H9" i="1"/>
  <c r="E14" i="1"/>
  <c r="H8" i="1"/>
  <c r="E16" i="1"/>
  <c r="H7" i="1"/>
  <c r="E20" i="1"/>
  <c r="H6" i="1"/>
  <c r="E2" i="1"/>
  <c r="H5" i="1"/>
  <c r="E13" i="1"/>
  <c r="H4" i="1"/>
  <c r="E7" i="1"/>
  <c r="H3" i="1"/>
  <c r="E29" i="1"/>
  <c r="H2" i="1"/>
  <c r="E6" i="1"/>
  <c r="I18" i="1" l="1"/>
  <c r="J18" i="1" s="1"/>
  <c r="H30" i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/>
  <c r="I19" i="1"/>
  <c r="J19" i="1" s="1"/>
  <c r="I17" i="1"/>
  <c r="J17" i="1"/>
  <c r="I16" i="1"/>
  <c r="J16" i="1" s="1"/>
  <c r="I15" i="1"/>
  <c r="J15" i="1"/>
  <c r="I14" i="1"/>
  <c r="J14" i="1"/>
  <c r="I13" i="1"/>
  <c r="J13" i="1"/>
  <c r="I12" i="1"/>
  <c r="J12" i="1" s="1"/>
  <c r="I11" i="1"/>
  <c r="J11" i="1" s="1"/>
  <c r="I10" i="1"/>
  <c r="J10" i="1" s="1"/>
  <c r="I9" i="1"/>
  <c r="J9" i="1" s="1"/>
  <c r="I8" i="1"/>
  <c r="J8" i="1"/>
  <c r="I7" i="1"/>
  <c r="J7" i="1" s="1"/>
  <c r="I6" i="1"/>
  <c r="J6" i="1"/>
  <c r="I5" i="1"/>
  <c r="J5" i="1" s="1"/>
  <c r="I4" i="1"/>
  <c r="J4" i="1"/>
  <c r="I3" i="1"/>
  <c r="J3" i="1" s="1"/>
  <c r="I2" i="1"/>
  <c r="E30" i="1"/>
  <c r="J2" i="1"/>
  <c r="I30" i="1" l="1"/>
  <c r="J30" i="1" s="1"/>
</calcChain>
</file>

<file path=xl/sharedStrings.xml><?xml version="1.0" encoding="utf-8"?>
<sst xmlns="http://schemas.openxmlformats.org/spreadsheetml/2006/main" count="99" uniqueCount="70">
  <si>
    <t>Advocacy Answers</t>
  </si>
  <si>
    <t>ESET PROTECT Advanced</t>
  </si>
  <si>
    <t>Alaska Construction &amp; Interiors</t>
  </si>
  <si>
    <t>Arkk</t>
  </si>
  <si>
    <t>Auckland Methodist Central Parish</t>
  </si>
  <si>
    <t>BRARC</t>
  </si>
  <si>
    <t>Built Limited</t>
  </si>
  <si>
    <t>CBG</t>
  </si>
  <si>
    <t>CIML</t>
  </si>
  <si>
    <t>Cinch HR</t>
  </si>
  <si>
    <t>Consult QS</t>
  </si>
  <si>
    <t>Exception Limited</t>
  </si>
  <si>
    <t>GetVerified</t>
  </si>
  <si>
    <t>ESET PROTECT Complete</t>
  </si>
  <si>
    <t>Goldwing</t>
  </si>
  <si>
    <t>Greenfield Global Ltd</t>
  </si>
  <si>
    <t>Greenscene</t>
  </si>
  <si>
    <t>Incentive Solutions Ltd</t>
  </si>
  <si>
    <t>KASC Limited</t>
  </si>
  <si>
    <t>Mosaic</t>
  </si>
  <si>
    <t>Quinn Law</t>
  </si>
  <si>
    <t>Rawa</t>
  </si>
  <si>
    <t>SideKit</t>
  </si>
  <si>
    <t>Sothertons</t>
  </si>
  <si>
    <t>SRS Group</t>
  </si>
  <si>
    <t>The Poi Room</t>
  </si>
  <si>
    <t>The Tindall Foundation</t>
  </si>
  <si>
    <t>Thoughtplanters Ltd</t>
  </si>
  <si>
    <t>Transbuild Ltd</t>
  </si>
  <si>
    <t>Total</t>
  </si>
  <si>
    <t>ESET MSP Price Book Reference Tiers (Adjusted Sell Rates: RRP + $0.50)</t>
  </si>
  <si>
    <t>All pricing in NZD, Excl. GST</t>
  </si>
  <si>
    <t>Tier (Licences)</t>
  </si>
  <si>
    <t>PROTECT Entry</t>
  </si>
  <si>
    <t>PROTECT Advanced</t>
  </si>
  <si>
    <t>PROTECT Complete</t>
  </si>
  <si>
    <t>PROTECT Enterprise</t>
  </si>
  <si>
    <t>PROTECT Elite</t>
  </si>
  <si>
    <t>ESET Inspect</t>
  </si>
  <si>
    <t>1-10</t>
  </si>
  <si>
    <t>11-25</t>
  </si>
  <si>
    <t>26-49</t>
  </si>
  <si>
    <t>50-99</t>
  </si>
  <si>
    <t>100-249</t>
  </si>
  <si>
    <t>250-499</t>
  </si>
  <si>
    <t>500-999</t>
  </si>
  <si>
    <t>Client</t>
  </si>
  <si>
    <t>Item</t>
  </si>
  <si>
    <t>Seats</t>
  </si>
  <si>
    <t>Sell</t>
  </si>
  <si>
    <t>Total Sell</t>
  </si>
  <si>
    <t>Total Buy</t>
  </si>
  <si>
    <t>%</t>
  </si>
  <si>
    <t>Profit</t>
  </si>
  <si>
    <t>Buy(Average)</t>
  </si>
  <si>
    <t>We billing for 4</t>
  </si>
  <si>
    <t>Maybe a different name</t>
  </si>
  <si>
    <t>Cant find any service</t>
  </si>
  <si>
    <t>We billing for 5</t>
  </si>
  <si>
    <t>We billing for 7</t>
  </si>
  <si>
    <t>We billing for 8</t>
  </si>
  <si>
    <t>We billing for 13</t>
  </si>
  <si>
    <t>We billing for 6</t>
  </si>
  <si>
    <t>We billing for 17</t>
  </si>
  <si>
    <t>Sheiling Laboratories Ltd</t>
  </si>
  <si>
    <t>SCML</t>
  </si>
  <si>
    <t>Billed Direct from Xero</t>
  </si>
  <si>
    <t>We billing for 26</t>
  </si>
  <si>
    <t>We billing for 86</t>
  </si>
  <si>
    <t>Not being used or invoiced but we being billed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</si>
</sst>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1B365D"/>
      <name val="Calibri"/>
      <family val="2"/>
    </font>
    <font>
      <i/>
      <sz val="10"/>
      <color rgb="FF555555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1B365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6FFFA"/>
        <bgColor rgb="FFE6FFFA"/>
      </patternFill>
    </fill>
    <fill>
      <patternFill patternType="solid">
        <fgColor rgb="FFF9FBFD"/>
        <bgColor rgb="FFF9FBFD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rgb="FFF9FBFD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164" fontId="5" fillId="0" borderId="1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 applyFill="1"/>
    <xf numFmtId="0" fontId="7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1" fillId="0" borderId="0" xfId="0" applyFont="1"/>
    <xf numFmtId="0" fontId="7" fillId="4" borderId="1" xfId="0" applyFont="1" applyFill="1" applyBorder="1" applyAlignment="1">
      <alignment horizontal="left" vertical="center"/>
    </xf>
    <xf numFmtId="3" fontId="7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2" xfId="0" applyFont="1" applyFill="1" applyBorder="1"/>
    <xf numFmtId="3" fontId="8" fillId="0" borderId="2" xfId="0" applyNumberFormat="1" applyFont="1" applyFill="1" applyBorder="1" applyAlignment="1">
      <alignment horizontal="right" vertical="center"/>
    </xf>
    <xf numFmtId="164" fontId="8" fillId="0" borderId="2" xfId="0" applyNumberFormat="1" applyFont="1" applyFill="1" applyBorder="1" applyAlignment="1">
      <alignment horizontal="right" vertical="center"/>
    </xf>
    <xf numFmtId="165" fontId="8" fillId="0" borderId="2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166" workbookViewId="0">
      <pane ySplit="1" topLeftCell="A15" activePane="bottomLeft" state="frozen"/>
      <selection pane="bottomLeft" activeCell="K3" sqref="K3"/>
    </sheetView>
  </sheetViews>
  <sheetFormatPr baseColWidth="10" defaultColWidth="8.83203125" defaultRowHeight="16" x14ac:dyDescent="0.2"/>
  <cols>
    <col min="1" max="1" width="29.6640625" style="13" bestFit="1" customWidth="1"/>
    <col min="2" max="2" width="21.83203125" style="13" bestFit="1" customWidth="1"/>
    <col min="3" max="4" width="5.6640625" style="13" bestFit="1" customWidth="1"/>
    <col min="5" max="5" width="9.1640625" style="13" bestFit="1" customWidth="1"/>
    <col min="6" max="6" width="9.1640625" style="13" customWidth="1"/>
    <col min="7" max="7" width="12.5" style="13" bestFit="1" customWidth="1"/>
    <col min="8" max="8" width="9.1640625" style="13" bestFit="1" customWidth="1"/>
    <col min="9" max="9" width="14.1640625" style="13" customWidth="1"/>
    <col min="10" max="10" width="15.83203125" style="13" customWidth="1"/>
    <col min="11" max="11" width="21.5" style="13" bestFit="1" customWidth="1"/>
    <col min="12" max="16384" width="8.83203125" style="13"/>
  </cols>
  <sheetData>
    <row r="1" spans="1:12" s="7" customFormat="1" ht="28" customHeight="1" x14ac:dyDescent="0.2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/>
      <c r="G1" s="6" t="s">
        <v>54</v>
      </c>
      <c r="H1" s="6" t="s">
        <v>51</v>
      </c>
      <c r="I1" s="6" t="s">
        <v>53</v>
      </c>
      <c r="J1" s="6" t="s">
        <v>52</v>
      </c>
    </row>
    <row r="2" spans="1:12" ht="20" customHeight="1" x14ac:dyDescent="0.2">
      <c r="A2" s="24" t="s">
        <v>5</v>
      </c>
      <c r="B2" s="8" t="s">
        <v>1</v>
      </c>
      <c r="C2" s="9">
        <v>0</v>
      </c>
      <c r="D2" s="10">
        <v>7.72</v>
      </c>
      <c r="E2" s="10">
        <f>IF(C2&gt;0, C2*D2, 0)</f>
        <v>0</v>
      </c>
      <c r="F2" s="10"/>
      <c r="G2" s="11">
        <v>3.42</v>
      </c>
      <c r="H2" s="10">
        <f t="shared" ref="H2:H29" si="0">IF(C2&gt;0, C2*G2, 0)</f>
        <v>0</v>
      </c>
      <c r="I2" s="10">
        <f t="shared" ref="I2:I29" si="1">E2-H2</f>
        <v>0</v>
      </c>
      <c r="J2" s="12">
        <f t="shared" ref="J2:J30" si="2">IF(E2&gt;0, I2/E2, 0)</f>
        <v>0</v>
      </c>
      <c r="K2" s="13" t="s">
        <v>69</v>
      </c>
    </row>
    <row r="3" spans="1:12" ht="20" customHeight="1" x14ac:dyDescent="0.2">
      <c r="A3" s="8" t="s">
        <v>9</v>
      </c>
      <c r="B3" s="8" t="s">
        <v>1</v>
      </c>
      <c r="C3" s="9">
        <v>1</v>
      </c>
      <c r="D3" s="10">
        <v>7.72</v>
      </c>
      <c r="E3" s="10">
        <f>IF(C3&gt;0, C3*D3, 0)</f>
        <v>7.72</v>
      </c>
      <c r="F3" s="16"/>
      <c r="G3" s="11">
        <v>3.42</v>
      </c>
      <c r="H3" s="16">
        <f t="shared" si="0"/>
        <v>3.42</v>
      </c>
      <c r="I3" s="16">
        <f t="shared" si="1"/>
        <v>4.3</v>
      </c>
      <c r="J3" s="17">
        <f t="shared" si="2"/>
        <v>0.55699481865284972</v>
      </c>
    </row>
    <row r="4" spans="1:12" ht="20" customHeight="1" x14ac:dyDescent="0.2">
      <c r="A4" s="8" t="s">
        <v>18</v>
      </c>
      <c r="B4" s="8" t="s">
        <v>1</v>
      </c>
      <c r="C4" s="9">
        <v>1</v>
      </c>
      <c r="D4" s="10">
        <v>7.72</v>
      </c>
      <c r="E4" s="10">
        <f>IF(C4&gt;0, C4*D4, 0)</f>
        <v>7.72</v>
      </c>
      <c r="F4" s="10"/>
      <c r="G4" s="11">
        <v>3.42</v>
      </c>
      <c r="H4" s="10">
        <f t="shared" si="0"/>
        <v>3.42</v>
      </c>
      <c r="I4" s="10">
        <f t="shared" si="1"/>
        <v>4.3</v>
      </c>
      <c r="J4" s="12">
        <f t="shared" si="2"/>
        <v>0.55699481865284972</v>
      </c>
    </row>
    <row r="5" spans="1:12" ht="20" customHeight="1" x14ac:dyDescent="0.2">
      <c r="A5" s="14" t="s">
        <v>22</v>
      </c>
      <c r="B5" s="14" t="s">
        <v>1</v>
      </c>
      <c r="C5" s="15">
        <v>1</v>
      </c>
      <c r="D5" s="16">
        <v>7.72</v>
      </c>
      <c r="E5" s="16">
        <f>IF(C5&gt;0, C5*D5, 0)</f>
        <v>7.72</v>
      </c>
      <c r="F5" s="16"/>
      <c r="G5" s="11">
        <v>3.42</v>
      </c>
      <c r="H5" s="16">
        <f t="shared" si="0"/>
        <v>3.42</v>
      </c>
      <c r="I5" s="16">
        <f t="shared" si="1"/>
        <v>4.3</v>
      </c>
      <c r="J5" s="17">
        <f t="shared" si="2"/>
        <v>0.55699481865284972</v>
      </c>
    </row>
    <row r="6" spans="1:12" ht="20" customHeight="1" x14ac:dyDescent="0.2">
      <c r="A6" s="8" t="s">
        <v>0</v>
      </c>
      <c r="B6" s="8" t="s">
        <v>1</v>
      </c>
      <c r="C6" s="9">
        <v>2</v>
      </c>
      <c r="D6" s="10">
        <v>7.72</v>
      </c>
      <c r="E6" s="10">
        <f>IF(C6&gt;0, C6*D6, 0)</f>
        <v>15.44</v>
      </c>
      <c r="F6" s="10"/>
      <c r="G6" s="11">
        <v>3.42</v>
      </c>
      <c r="H6" s="10">
        <f t="shared" si="0"/>
        <v>6.84</v>
      </c>
      <c r="I6" s="10">
        <f t="shared" si="1"/>
        <v>8.6</v>
      </c>
      <c r="J6" s="12">
        <f t="shared" si="2"/>
        <v>0.55699481865284972</v>
      </c>
    </row>
    <row r="7" spans="1:12" ht="20" customHeight="1" x14ac:dyDescent="0.2">
      <c r="A7" s="23" t="s">
        <v>3</v>
      </c>
      <c r="B7" s="8" t="s">
        <v>1</v>
      </c>
      <c r="C7" s="9">
        <v>2</v>
      </c>
      <c r="D7" s="10">
        <v>7.72</v>
      </c>
      <c r="E7" s="10">
        <f>IF(C7&gt;0, C7*D7, 0)</f>
        <v>15.44</v>
      </c>
      <c r="F7" s="16"/>
      <c r="G7" s="11">
        <v>3.42</v>
      </c>
      <c r="H7" s="16">
        <f t="shared" si="0"/>
        <v>6.84</v>
      </c>
      <c r="I7" s="16">
        <f t="shared" si="1"/>
        <v>8.6</v>
      </c>
      <c r="J7" s="17">
        <f t="shared" si="2"/>
        <v>0.55699481865284972</v>
      </c>
      <c r="K7" s="13" t="s">
        <v>56</v>
      </c>
    </row>
    <row r="8" spans="1:12" ht="20" customHeight="1" x14ac:dyDescent="0.2">
      <c r="A8" s="24" t="s">
        <v>20</v>
      </c>
      <c r="B8" s="8" t="s">
        <v>1</v>
      </c>
      <c r="C8" s="9">
        <v>4</v>
      </c>
      <c r="D8" s="10">
        <v>7.72</v>
      </c>
      <c r="E8" s="10">
        <f>IF(C8&gt;0, C8*D8, 0)</f>
        <v>30.88</v>
      </c>
      <c r="F8" s="10"/>
      <c r="G8" s="11">
        <v>3.42</v>
      </c>
      <c r="H8" s="10">
        <f t="shared" si="0"/>
        <v>13.68</v>
      </c>
      <c r="I8" s="10">
        <f t="shared" si="1"/>
        <v>17.2</v>
      </c>
      <c r="J8" s="12">
        <f t="shared" si="2"/>
        <v>0.55699481865284972</v>
      </c>
      <c r="K8" s="13" t="s">
        <v>57</v>
      </c>
    </row>
    <row r="9" spans="1:12" ht="20" customHeight="1" x14ac:dyDescent="0.2">
      <c r="A9" s="14" t="s">
        <v>10</v>
      </c>
      <c r="B9" s="14" t="s">
        <v>1</v>
      </c>
      <c r="C9" s="15">
        <v>5</v>
      </c>
      <c r="D9" s="16">
        <v>7.72</v>
      </c>
      <c r="E9" s="16">
        <f>IF(C9&gt;0, C9*D9, 0)</f>
        <v>38.6</v>
      </c>
      <c r="F9" s="16"/>
      <c r="G9" s="11">
        <v>3.42</v>
      </c>
      <c r="H9" s="16">
        <f t="shared" si="0"/>
        <v>17.100000000000001</v>
      </c>
      <c r="I9" s="16">
        <f t="shared" si="1"/>
        <v>21.5</v>
      </c>
      <c r="J9" s="17">
        <f t="shared" si="2"/>
        <v>0.55699481865284972</v>
      </c>
    </row>
    <row r="10" spans="1:12" ht="20" customHeight="1" x14ac:dyDescent="0.2">
      <c r="A10" s="23" t="s">
        <v>14</v>
      </c>
      <c r="B10" s="8" t="s">
        <v>1</v>
      </c>
      <c r="C10" s="9">
        <v>5</v>
      </c>
      <c r="D10" s="10">
        <v>7.72</v>
      </c>
      <c r="E10" s="10">
        <f>IF(C10&gt;0, C10*D10, 0)</f>
        <v>38.6</v>
      </c>
      <c r="F10" s="10"/>
      <c r="G10" s="11">
        <v>3.42</v>
      </c>
      <c r="H10" s="10">
        <f t="shared" si="0"/>
        <v>17.100000000000001</v>
      </c>
      <c r="I10" s="10">
        <f t="shared" si="1"/>
        <v>21.5</v>
      </c>
      <c r="J10" s="12">
        <f t="shared" si="2"/>
        <v>0.55699481865284972</v>
      </c>
      <c r="K10" s="13" t="s">
        <v>55</v>
      </c>
    </row>
    <row r="11" spans="1:12" ht="20" customHeight="1" x14ac:dyDescent="0.2">
      <c r="A11" s="25" t="s">
        <v>21</v>
      </c>
      <c r="B11" s="14" t="s">
        <v>1</v>
      </c>
      <c r="C11" s="15">
        <v>5</v>
      </c>
      <c r="D11" s="16">
        <v>7.72</v>
      </c>
      <c r="E11" s="16">
        <f>IF(C11&gt;0, C11*D11, 0)</f>
        <v>38.6</v>
      </c>
      <c r="F11" s="16"/>
      <c r="G11" s="11">
        <v>3.42</v>
      </c>
      <c r="H11" s="16">
        <f t="shared" si="0"/>
        <v>17.100000000000001</v>
      </c>
      <c r="I11" s="16">
        <f t="shared" si="1"/>
        <v>21.5</v>
      </c>
      <c r="J11" s="17">
        <f t="shared" si="2"/>
        <v>0.55699481865284972</v>
      </c>
      <c r="K11" s="13" t="s">
        <v>55</v>
      </c>
    </row>
    <row r="12" spans="1:12" ht="20" customHeight="1" x14ac:dyDescent="0.2">
      <c r="A12" s="25" t="s">
        <v>24</v>
      </c>
      <c r="B12" s="14" t="s">
        <v>1</v>
      </c>
      <c r="C12" s="15">
        <v>5</v>
      </c>
      <c r="D12" s="16">
        <v>7.72</v>
      </c>
      <c r="E12" s="16">
        <f>IF(C12&gt;0, C12*D12, 0)</f>
        <v>38.6</v>
      </c>
      <c r="F12" s="10"/>
      <c r="G12" s="11">
        <v>3.42</v>
      </c>
      <c r="H12" s="10">
        <f t="shared" si="0"/>
        <v>17.100000000000001</v>
      </c>
      <c r="I12" s="10">
        <f t="shared" si="1"/>
        <v>21.5</v>
      </c>
      <c r="J12" s="12">
        <f t="shared" si="2"/>
        <v>0.55699481865284972</v>
      </c>
      <c r="K12" s="13" t="s">
        <v>55</v>
      </c>
    </row>
    <row r="13" spans="1:12" ht="20" customHeight="1" x14ac:dyDescent="0.2">
      <c r="A13" s="14" t="s">
        <v>4</v>
      </c>
      <c r="B13" s="14" t="s">
        <v>1</v>
      </c>
      <c r="C13" s="15">
        <v>7</v>
      </c>
      <c r="D13" s="16">
        <v>7.72</v>
      </c>
      <c r="E13" s="16">
        <f>IF(C13&gt;0, C13*D13, 0)</f>
        <v>54.04</v>
      </c>
      <c r="F13" s="16"/>
      <c r="G13" s="11">
        <v>6.99</v>
      </c>
      <c r="H13" s="16">
        <f t="shared" si="0"/>
        <v>48.93</v>
      </c>
      <c r="I13" s="16">
        <f t="shared" si="1"/>
        <v>5.1099999999999994</v>
      </c>
      <c r="J13" s="17">
        <f t="shared" si="2"/>
        <v>9.4559585492227968E-2</v>
      </c>
    </row>
    <row r="14" spans="1:12" ht="20" customHeight="1" x14ac:dyDescent="0.2">
      <c r="A14" s="25" t="s">
        <v>8</v>
      </c>
      <c r="B14" s="14" t="s">
        <v>1</v>
      </c>
      <c r="C14" s="15">
        <v>7</v>
      </c>
      <c r="D14" s="16">
        <v>7.72</v>
      </c>
      <c r="E14" s="16">
        <f>IF(C14&gt;0, C14*D14, 0)</f>
        <v>54.04</v>
      </c>
      <c r="F14" s="10"/>
      <c r="G14" s="11">
        <v>3.42</v>
      </c>
      <c r="H14" s="10">
        <f t="shared" si="0"/>
        <v>23.939999999999998</v>
      </c>
      <c r="I14" s="10">
        <f t="shared" si="1"/>
        <v>30.1</v>
      </c>
      <c r="J14" s="12">
        <f t="shared" si="2"/>
        <v>0.55699481865284972</v>
      </c>
      <c r="K14" s="13" t="s">
        <v>58</v>
      </c>
      <c r="L14" s="13" t="s">
        <v>65</v>
      </c>
    </row>
    <row r="15" spans="1:12" ht="20" customHeight="1" x14ac:dyDescent="0.2">
      <c r="A15" s="25" t="s">
        <v>15</v>
      </c>
      <c r="B15" s="14" t="s">
        <v>1</v>
      </c>
      <c r="C15" s="15">
        <v>7</v>
      </c>
      <c r="D15" s="16">
        <v>7.72</v>
      </c>
      <c r="E15" s="16">
        <f>IF(C15&gt;0, C15*D15, 0)</f>
        <v>54.04</v>
      </c>
      <c r="F15" s="16"/>
      <c r="G15" s="11">
        <v>3.42</v>
      </c>
      <c r="H15" s="16">
        <f t="shared" si="0"/>
        <v>23.939999999999998</v>
      </c>
      <c r="I15" s="16">
        <f t="shared" si="1"/>
        <v>30.1</v>
      </c>
      <c r="J15" s="17">
        <f t="shared" si="2"/>
        <v>0.55699481865284972</v>
      </c>
      <c r="K15" s="13" t="s">
        <v>58</v>
      </c>
    </row>
    <row r="16" spans="1:12" ht="20" customHeight="1" x14ac:dyDescent="0.2">
      <c r="A16" s="23" t="s">
        <v>7</v>
      </c>
      <c r="B16" s="8" t="s">
        <v>1</v>
      </c>
      <c r="C16" s="9">
        <v>9</v>
      </c>
      <c r="D16" s="10">
        <v>7.72</v>
      </c>
      <c r="E16" s="10">
        <f>IF(C16&gt;0, C16*D16, 0)</f>
        <v>69.48</v>
      </c>
      <c r="F16" s="10"/>
      <c r="G16" s="11">
        <v>3.42</v>
      </c>
      <c r="H16" s="10">
        <f t="shared" si="0"/>
        <v>30.78</v>
      </c>
      <c r="I16" s="10">
        <f t="shared" si="1"/>
        <v>38.700000000000003</v>
      </c>
      <c r="J16" s="12">
        <f t="shared" si="2"/>
        <v>0.55699481865284972</v>
      </c>
      <c r="K16" s="13" t="s">
        <v>62</v>
      </c>
    </row>
    <row r="17" spans="1:11" ht="20" customHeight="1" x14ac:dyDescent="0.2">
      <c r="A17" s="14" t="s">
        <v>12</v>
      </c>
      <c r="B17" s="14" t="s">
        <v>13</v>
      </c>
      <c r="C17" s="15">
        <v>9</v>
      </c>
      <c r="D17" s="16">
        <v>9.3699999999999992</v>
      </c>
      <c r="E17" s="16">
        <f>IF(C17&gt;0, C17*D17, 0)</f>
        <v>84.33</v>
      </c>
      <c r="F17" s="16"/>
      <c r="G17" s="11">
        <v>3.42</v>
      </c>
      <c r="H17" s="16">
        <f t="shared" si="0"/>
        <v>30.78</v>
      </c>
      <c r="I17" s="16">
        <f t="shared" si="1"/>
        <v>53.55</v>
      </c>
      <c r="J17" s="17">
        <f t="shared" si="2"/>
        <v>0.63500533617929555</v>
      </c>
    </row>
    <row r="18" spans="1:11" ht="20" customHeight="1" x14ac:dyDescent="0.2">
      <c r="A18" s="23" t="s">
        <v>27</v>
      </c>
      <c r="B18" s="8" t="s">
        <v>1</v>
      </c>
      <c r="C18" s="9">
        <v>10</v>
      </c>
      <c r="D18" s="10">
        <v>7.72</v>
      </c>
      <c r="E18" s="10">
        <f>IF(C18&gt;0, C18*D18, 0)</f>
        <v>77.2</v>
      </c>
      <c r="F18" s="10"/>
      <c r="G18" s="11">
        <v>3.42</v>
      </c>
      <c r="H18" s="10">
        <f t="shared" si="0"/>
        <v>34.200000000000003</v>
      </c>
      <c r="I18" s="10">
        <f t="shared" si="1"/>
        <v>43</v>
      </c>
      <c r="J18" s="12">
        <f t="shared" si="2"/>
        <v>0.55699481865284972</v>
      </c>
      <c r="K18" s="13" t="s">
        <v>59</v>
      </c>
    </row>
    <row r="19" spans="1:11" ht="20" customHeight="1" x14ac:dyDescent="0.2">
      <c r="A19" s="23" t="s">
        <v>23</v>
      </c>
      <c r="B19" s="8" t="s">
        <v>1</v>
      </c>
      <c r="C19" s="9">
        <v>14</v>
      </c>
      <c r="D19" s="10">
        <v>6.62</v>
      </c>
      <c r="E19" s="10">
        <f>IF(C19&gt;0, C19*D19, 0)</f>
        <v>92.68</v>
      </c>
      <c r="F19" s="16"/>
      <c r="G19" s="11">
        <v>3.42</v>
      </c>
      <c r="H19" s="16">
        <f t="shared" si="0"/>
        <v>47.879999999999995</v>
      </c>
      <c r="I19" s="16">
        <f t="shared" si="1"/>
        <v>44.800000000000011</v>
      </c>
      <c r="J19" s="17">
        <f t="shared" si="2"/>
        <v>0.48338368580060431</v>
      </c>
      <c r="K19" s="13" t="s">
        <v>61</v>
      </c>
    </row>
    <row r="20" spans="1:11" ht="20" customHeight="1" x14ac:dyDescent="0.2">
      <c r="A20" s="25" t="s">
        <v>6</v>
      </c>
      <c r="B20" s="14" t="s">
        <v>1</v>
      </c>
      <c r="C20" s="15">
        <v>15</v>
      </c>
      <c r="D20" s="16">
        <v>6.62</v>
      </c>
      <c r="E20" s="16">
        <f>IF(C20&gt;0, C20*D20, 0)</f>
        <v>99.3</v>
      </c>
      <c r="F20" s="10"/>
      <c r="G20" s="11">
        <v>3.42</v>
      </c>
      <c r="H20" s="10">
        <f t="shared" si="0"/>
        <v>51.3</v>
      </c>
      <c r="I20" s="10">
        <f t="shared" si="1"/>
        <v>48</v>
      </c>
      <c r="J20" s="12">
        <f t="shared" si="2"/>
        <v>0.48338368580060426</v>
      </c>
      <c r="K20" s="13" t="s">
        <v>60</v>
      </c>
    </row>
    <row r="21" spans="1:11" ht="20" customHeight="1" x14ac:dyDescent="0.2">
      <c r="A21" s="8" t="s">
        <v>11</v>
      </c>
      <c r="B21" s="8" t="s">
        <v>1</v>
      </c>
      <c r="C21" s="9">
        <v>18</v>
      </c>
      <c r="D21" s="10">
        <v>6.62</v>
      </c>
      <c r="E21" s="10">
        <f>IF(C21&gt;0, C21*D21, 0)</f>
        <v>119.16</v>
      </c>
      <c r="F21" s="16"/>
      <c r="G21" s="11">
        <v>3.42</v>
      </c>
      <c r="H21" s="16">
        <f t="shared" si="0"/>
        <v>61.56</v>
      </c>
      <c r="I21" s="16">
        <f t="shared" si="1"/>
        <v>57.599999999999994</v>
      </c>
      <c r="J21" s="17">
        <f t="shared" si="2"/>
        <v>0.4833836858006042</v>
      </c>
    </row>
    <row r="22" spans="1:11" ht="20" customHeight="1" x14ac:dyDescent="0.2">
      <c r="A22" s="8" t="s">
        <v>25</v>
      </c>
      <c r="B22" s="8" t="s">
        <v>1</v>
      </c>
      <c r="C22" s="9">
        <v>18</v>
      </c>
      <c r="D22" s="10">
        <v>6.62</v>
      </c>
      <c r="E22" s="10">
        <f>IF(C22&gt;0, C22*D22, 0)</f>
        <v>119.16</v>
      </c>
      <c r="F22" s="10"/>
      <c r="G22" s="11">
        <v>3.42</v>
      </c>
      <c r="H22" s="10">
        <f t="shared" si="0"/>
        <v>61.56</v>
      </c>
      <c r="I22" s="10">
        <f t="shared" si="1"/>
        <v>57.599999999999994</v>
      </c>
      <c r="J22" s="12">
        <f t="shared" si="2"/>
        <v>0.4833836858006042</v>
      </c>
    </row>
    <row r="23" spans="1:11" ht="20" customHeight="1" x14ac:dyDescent="0.2">
      <c r="A23" s="14" t="s">
        <v>28</v>
      </c>
      <c r="B23" s="14" t="s">
        <v>1</v>
      </c>
      <c r="C23" s="15">
        <v>18</v>
      </c>
      <c r="D23" s="16">
        <v>6.62</v>
      </c>
      <c r="E23" s="16">
        <f>IF(C23&gt;0, C23*D23, 0)</f>
        <v>119.16</v>
      </c>
      <c r="F23" s="16"/>
      <c r="G23" s="11">
        <v>3.42</v>
      </c>
      <c r="H23" s="16">
        <f t="shared" si="0"/>
        <v>61.56</v>
      </c>
      <c r="I23" s="16">
        <f t="shared" si="1"/>
        <v>57.599999999999994</v>
      </c>
      <c r="J23" s="17">
        <f t="shared" si="2"/>
        <v>0.4833836858006042</v>
      </c>
    </row>
    <row r="24" spans="1:11" ht="20" customHeight="1" x14ac:dyDescent="0.2">
      <c r="A24" s="25" t="s">
        <v>26</v>
      </c>
      <c r="B24" s="14" t="s">
        <v>1</v>
      </c>
      <c r="C24" s="15">
        <v>22</v>
      </c>
      <c r="D24" s="16">
        <v>6.62</v>
      </c>
      <c r="E24" s="16">
        <f>IF(C24&gt;0, C24*D24, 0)</f>
        <v>145.64000000000001</v>
      </c>
      <c r="F24" s="10"/>
      <c r="G24" s="11">
        <v>3.42</v>
      </c>
      <c r="H24" s="10">
        <f t="shared" si="0"/>
        <v>75.239999999999995</v>
      </c>
      <c r="I24" s="10">
        <f t="shared" si="1"/>
        <v>70.40000000000002</v>
      </c>
      <c r="J24" s="12">
        <f t="shared" si="2"/>
        <v>0.48338368580060431</v>
      </c>
      <c r="K24" s="13" t="s">
        <v>63</v>
      </c>
    </row>
    <row r="25" spans="1:11" ht="20" customHeight="1" x14ac:dyDescent="0.2">
      <c r="A25" s="14" t="s">
        <v>17</v>
      </c>
      <c r="B25" s="14" t="s">
        <v>1</v>
      </c>
      <c r="C25" s="15">
        <v>28</v>
      </c>
      <c r="D25" s="16">
        <v>5.91</v>
      </c>
      <c r="E25" s="16">
        <f>IF(C25&gt;0, C25*D25, 0)</f>
        <v>165.48000000000002</v>
      </c>
      <c r="F25" s="16"/>
      <c r="G25" s="11">
        <v>3.42</v>
      </c>
      <c r="H25" s="16">
        <f t="shared" si="0"/>
        <v>95.759999999999991</v>
      </c>
      <c r="I25" s="16">
        <f t="shared" si="1"/>
        <v>69.720000000000027</v>
      </c>
      <c r="J25" s="17">
        <f t="shared" si="2"/>
        <v>0.42131979695431482</v>
      </c>
      <c r="K25" s="13" t="s">
        <v>66</v>
      </c>
    </row>
    <row r="26" spans="1:11" ht="20" customHeight="1" x14ac:dyDescent="0.2">
      <c r="A26" s="23" t="s">
        <v>64</v>
      </c>
      <c r="B26" s="8" t="s">
        <v>1</v>
      </c>
      <c r="C26" s="9">
        <v>28</v>
      </c>
      <c r="D26" s="10">
        <v>5.91</v>
      </c>
      <c r="E26" s="10">
        <f>IF(C26&gt;0, C26*D26, 0)</f>
        <v>165.48000000000002</v>
      </c>
      <c r="F26" s="10"/>
      <c r="G26" s="11">
        <v>3.42</v>
      </c>
      <c r="H26" s="10">
        <f t="shared" si="0"/>
        <v>95.759999999999991</v>
      </c>
      <c r="I26" s="10">
        <f t="shared" si="1"/>
        <v>69.720000000000027</v>
      </c>
      <c r="J26" s="12">
        <f t="shared" si="2"/>
        <v>0.42131979695431482</v>
      </c>
      <c r="K26" s="13" t="s">
        <v>67</v>
      </c>
    </row>
    <row r="27" spans="1:11" ht="20" customHeight="1" x14ac:dyDescent="0.2">
      <c r="A27" s="8" t="s">
        <v>16</v>
      </c>
      <c r="B27" s="8" t="s">
        <v>1</v>
      </c>
      <c r="C27" s="9">
        <v>53</v>
      </c>
      <c r="D27" s="10">
        <v>5.56</v>
      </c>
      <c r="E27" s="10">
        <f>IF(C27&gt;0, C27*D27, 0)</f>
        <v>294.68</v>
      </c>
      <c r="F27" s="16"/>
      <c r="G27" s="11">
        <v>3.42</v>
      </c>
      <c r="H27" s="16">
        <f t="shared" si="0"/>
        <v>181.26</v>
      </c>
      <c r="I27" s="16">
        <f t="shared" si="1"/>
        <v>113.42000000000002</v>
      </c>
      <c r="J27" s="17">
        <f t="shared" si="2"/>
        <v>0.3848920863309353</v>
      </c>
    </row>
    <row r="28" spans="1:11" ht="20" customHeight="1" x14ac:dyDescent="0.2">
      <c r="A28" s="14" t="s">
        <v>19</v>
      </c>
      <c r="B28" s="14" t="s">
        <v>1</v>
      </c>
      <c r="C28" s="15">
        <v>53</v>
      </c>
      <c r="D28" s="16">
        <v>5.56</v>
      </c>
      <c r="E28" s="16">
        <f>IF(C28&gt;0, C28*D28, 0)</f>
        <v>294.68</v>
      </c>
      <c r="F28" s="10"/>
      <c r="G28" s="11">
        <v>3.42</v>
      </c>
      <c r="H28" s="10">
        <f t="shared" si="0"/>
        <v>181.26</v>
      </c>
      <c r="I28" s="10">
        <f t="shared" si="1"/>
        <v>113.42000000000002</v>
      </c>
      <c r="J28" s="12">
        <f t="shared" si="2"/>
        <v>0.3848920863309353</v>
      </c>
    </row>
    <row r="29" spans="1:11" ht="20" customHeight="1" x14ac:dyDescent="0.2">
      <c r="A29" s="25" t="s">
        <v>2</v>
      </c>
      <c r="B29" s="14" t="s">
        <v>1</v>
      </c>
      <c r="C29" s="15">
        <v>90</v>
      </c>
      <c r="D29" s="16">
        <v>5.56</v>
      </c>
      <c r="E29" s="16">
        <f>IF(C29&gt;0, C29*D29, 0)</f>
        <v>500.4</v>
      </c>
      <c r="F29" s="16"/>
      <c r="G29" s="11">
        <v>3.42</v>
      </c>
      <c r="H29" s="16">
        <f t="shared" si="0"/>
        <v>307.8</v>
      </c>
      <c r="I29" s="16">
        <f t="shared" si="1"/>
        <v>192.59999999999997</v>
      </c>
      <c r="J29" s="17">
        <f t="shared" si="2"/>
        <v>0.38489208633093519</v>
      </c>
      <c r="K29" s="13" t="s">
        <v>68</v>
      </c>
    </row>
    <row r="30" spans="1:11" s="7" customFormat="1" ht="24" customHeight="1" x14ac:dyDescent="0.2">
      <c r="A30" s="18" t="s">
        <v>29</v>
      </c>
      <c r="B30" s="19"/>
      <c r="C30" s="20">
        <f>SUM(C2:C29)</f>
        <v>437</v>
      </c>
      <c r="D30" s="19"/>
      <c r="E30" s="21">
        <f>SUM(E2:E29)</f>
        <v>2748.2700000000004</v>
      </c>
      <c r="F30" s="21"/>
      <c r="G30" s="19"/>
      <c r="H30" s="21">
        <f>SUM(H2:H29)</f>
        <v>1519.53</v>
      </c>
      <c r="I30" s="21">
        <f>SUM(I2:I29)</f>
        <v>1228.74</v>
      </c>
      <c r="J30" s="22">
        <f t="shared" si="2"/>
        <v>0.44709580936370874</v>
      </c>
    </row>
  </sheetData>
  <autoFilter ref="A1:E30" xr:uid="{00000000-0001-0000-0000-000000000000}">
    <sortState xmlns:xlrd2="http://schemas.microsoft.com/office/spreadsheetml/2017/richdata2" ref="A2:E30">
      <sortCondition ref="C1:C3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baseColWidth="10" defaultColWidth="8.83203125" defaultRowHeight="15" x14ac:dyDescent="0.2"/>
  <cols>
    <col min="1" max="1" width="18" customWidth="1"/>
    <col min="2" max="7" width="20" customWidth="1"/>
  </cols>
  <sheetData>
    <row r="1" spans="1:7" ht="21" x14ac:dyDescent="0.25">
      <c r="A1" s="1" t="s">
        <v>30</v>
      </c>
    </row>
    <row r="2" spans="1:7" x14ac:dyDescent="0.2">
      <c r="A2" s="2" t="s">
        <v>31</v>
      </c>
    </row>
    <row r="4" spans="1:7" x14ac:dyDescent="0.2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</row>
    <row r="5" spans="1:7" ht="20" customHeight="1" x14ac:dyDescent="0.2">
      <c r="A5" s="5" t="s">
        <v>39</v>
      </c>
      <c r="B5" s="3">
        <v>6.05</v>
      </c>
      <c r="C5" s="3">
        <v>7.72</v>
      </c>
      <c r="D5" s="3">
        <v>9.3699999999999992</v>
      </c>
      <c r="E5" s="3">
        <v>11.59</v>
      </c>
      <c r="F5" s="3">
        <v>17.14</v>
      </c>
      <c r="G5" s="3">
        <v>6.61</v>
      </c>
    </row>
    <row r="6" spans="1:7" ht="20" customHeight="1" x14ac:dyDescent="0.2">
      <c r="A6" s="5" t="s">
        <v>40</v>
      </c>
      <c r="B6" s="3">
        <v>5.21</v>
      </c>
      <c r="C6" s="3">
        <v>6.62</v>
      </c>
      <c r="D6" s="3">
        <v>8.0399999999999991</v>
      </c>
      <c r="E6" s="3">
        <v>9.92</v>
      </c>
      <c r="F6" s="3">
        <v>14.64</v>
      </c>
      <c r="G6" s="3">
        <v>5.68</v>
      </c>
    </row>
    <row r="7" spans="1:7" ht="20" customHeight="1" x14ac:dyDescent="0.2">
      <c r="A7" s="5" t="s">
        <v>41</v>
      </c>
      <c r="B7" s="3">
        <v>4.66</v>
      </c>
      <c r="C7" s="3">
        <v>5.91</v>
      </c>
      <c r="D7" s="3">
        <v>7.16</v>
      </c>
      <c r="E7" s="3">
        <v>8.83</v>
      </c>
      <c r="F7" s="3">
        <v>12.99</v>
      </c>
      <c r="G7" s="3">
        <v>5.07</v>
      </c>
    </row>
    <row r="8" spans="1:7" ht="20" customHeight="1" x14ac:dyDescent="0.2">
      <c r="A8" s="5" t="s">
        <v>42</v>
      </c>
      <c r="B8" s="3">
        <v>4.3899999999999997</v>
      </c>
      <c r="C8" s="3">
        <v>5.56</v>
      </c>
      <c r="D8" s="3">
        <v>6.73</v>
      </c>
      <c r="E8" s="3">
        <v>8.2799999999999994</v>
      </c>
      <c r="F8" s="3">
        <v>12.16</v>
      </c>
      <c r="G8" s="3">
        <v>4.79</v>
      </c>
    </row>
    <row r="9" spans="1:7" ht="20" customHeight="1" x14ac:dyDescent="0.2">
      <c r="A9" s="5" t="s">
        <v>43</v>
      </c>
      <c r="B9" s="3">
        <v>4.0999999999999996</v>
      </c>
      <c r="C9" s="3">
        <v>5.18</v>
      </c>
      <c r="D9" s="3">
        <v>6.26</v>
      </c>
      <c r="E9" s="3">
        <v>7.71</v>
      </c>
      <c r="F9" s="3">
        <v>11.31</v>
      </c>
      <c r="G9" s="3">
        <v>4.47</v>
      </c>
    </row>
    <row r="10" spans="1:7" ht="20" customHeight="1" x14ac:dyDescent="0.2">
      <c r="A10" s="5" t="s">
        <v>44</v>
      </c>
      <c r="B10" s="3">
        <v>3.83</v>
      </c>
      <c r="C10" s="3">
        <v>4.84</v>
      </c>
      <c r="D10" s="3">
        <v>5.82</v>
      </c>
      <c r="E10" s="3">
        <v>7.16</v>
      </c>
      <c r="F10" s="3">
        <v>10.48</v>
      </c>
      <c r="G10" s="3">
        <v>4.17</v>
      </c>
    </row>
    <row r="11" spans="1:7" ht="20" customHeight="1" x14ac:dyDescent="0.2">
      <c r="A11" s="5" t="s">
        <v>45</v>
      </c>
      <c r="B11" s="3">
        <v>3.55</v>
      </c>
      <c r="C11" s="3">
        <v>4.47</v>
      </c>
      <c r="D11" s="3">
        <v>5.4</v>
      </c>
      <c r="E11" s="3">
        <v>6.61</v>
      </c>
      <c r="F11" s="3">
        <v>9.66</v>
      </c>
      <c r="G11" s="3">
        <v>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ESET Client Pricing</vt:lpstr>
      <vt:lpstr>Price Book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Blackman</cp:lastModifiedBy>
  <dcterms:created xsi:type="dcterms:W3CDTF">2026-09-03T11:48:37Z</dcterms:created>
  <dcterms:modified xsi:type="dcterms:W3CDTF">2026-09-03T12:43:41Z</dcterms:modified>
</cp:coreProperties>
</file>