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hael/Documents/"/>
    </mc:Choice>
  </mc:AlternateContent>
  <xr:revisionPtr revIDLastSave="0" documentId="13_ncr:1_{CAA10F0F-453A-F44D-8923-0EBA449E1864}" xr6:coauthVersionLast="47" xr6:coauthVersionMax="47" xr10:uidLastSave="{00000000-0000-0000-0000-000000000000}"/>
  <bookViews>
    <workbookView xWindow="460" yWindow="1020" windowWidth="28100" windowHeight="16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I17" i="1"/>
  <c r="E17" i="1"/>
  <c r="I16" i="1"/>
  <c r="E16" i="1"/>
  <c r="I15" i="1"/>
  <c r="E15" i="1"/>
  <c r="I14" i="1"/>
  <c r="E14" i="1"/>
  <c r="I13" i="1"/>
  <c r="E13" i="1"/>
  <c r="B8" i="1"/>
  <c r="B21" i="1" s="1"/>
  <c r="I6" i="1"/>
  <c r="E6" i="1"/>
  <c r="I5" i="1"/>
  <c r="E5" i="1"/>
  <c r="I4" i="1"/>
  <c r="E4" i="1"/>
  <c r="I3" i="1"/>
  <c r="E3" i="1"/>
  <c r="E8" i="1" s="1"/>
  <c r="K17" i="1" l="1"/>
  <c r="J17" i="1"/>
  <c r="L17" i="1" s="1"/>
  <c r="K16" i="1"/>
  <c r="J16" i="1"/>
  <c r="L16" i="1" s="1"/>
  <c r="J15" i="1"/>
  <c r="L15" i="1" s="1"/>
  <c r="K15" i="1"/>
  <c r="K14" i="1"/>
  <c r="J14" i="1"/>
  <c r="L14" i="1" s="1"/>
  <c r="K13" i="1"/>
  <c r="J13" i="1"/>
  <c r="I19" i="1"/>
  <c r="E19" i="1"/>
  <c r="E21" i="1" s="1"/>
  <c r="J6" i="1"/>
  <c r="L6" i="1" s="1"/>
  <c r="K6" i="1"/>
  <c r="M6" i="1" s="1"/>
  <c r="O6" i="1" s="1"/>
  <c r="K5" i="1"/>
  <c r="J5" i="1"/>
  <c r="L5" i="1" s="1"/>
  <c r="J4" i="1"/>
  <c r="L4" i="1" s="1"/>
  <c r="K4" i="1"/>
  <c r="M4" i="1" s="1"/>
  <c r="O4" i="1" s="1"/>
  <c r="J3" i="1"/>
  <c r="K3" i="1"/>
  <c r="I8" i="1"/>
  <c r="M15" i="1" l="1"/>
  <c r="O15" i="1" s="1"/>
  <c r="I21" i="1"/>
  <c r="K19" i="1"/>
  <c r="L13" i="1"/>
  <c r="J19" i="1"/>
  <c r="L3" i="1"/>
  <c r="J8" i="1"/>
  <c r="K8" i="1"/>
  <c r="M5" i="1"/>
  <c r="O5" i="1" s="1"/>
  <c r="M17" i="1"/>
  <c r="O17" i="1" s="1"/>
  <c r="M16" i="1"/>
  <c r="O16" i="1" s="1"/>
  <c r="M14" i="1"/>
  <c r="O14" i="1" s="1"/>
  <c r="L8" i="1" l="1"/>
  <c r="M3" i="1"/>
  <c r="J21" i="1"/>
  <c r="K21" i="1"/>
  <c r="L19" i="1"/>
  <c r="M13" i="1"/>
  <c r="L21" i="1" l="1"/>
  <c r="M8" i="1"/>
  <c r="O3" i="1"/>
  <c r="O8" i="1" s="1"/>
  <c r="M19" i="1"/>
  <c r="O13" i="1"/>
  <c r="O19" i="1" s="1"/>
  <c r="M21" i="1" l="1"/>
  <c r="O21" i="1"/>
</calcChain>
</file>

<file path=xl/sharedStrings.xml><?xml version="1.0" encoding="utf-8"?>
<sst xmlns="http://schemas.openxmlformats.org/spreadsheetml/2006/main" count="49" uniqueCount="31">
  <si>
    <t>Cost per</t>
  </si>
  <si>
    <t>Existing</t>
  </si>
  <si>
    <t>Split between Monthly and Annual</t>
  </si>
  <si>
    <t>Proposed</t>
  </si>
  <si>
    <t>Product / License</t>
  </si>
  <si>
    <t>Total</t>
  </si>
  <si>
    <t>% to be Annual</t>
  </si>
  <si>
    <t>New Ann</t>
  </si>
  <si>
    <t>New Mth</t>
  </si>
  <si>
    <t>Annual</t>
  </si>
  <si>
    <t>Monthly</t>
  </si>
  <si>
    <t>Combined</t>
  </si>
  <si>
    <t>Saving</t>
  </si>
  <si>
    <t>Microsoft Planner and Project Plan 3</t>
  </si>
  <si>
    <t>Microsoft Defender for Office 365 (Plan 2)</t>
  </si>
  <si>
    <t>Microsoft Office 365 E3 (no Teams)</t>
  </si>
  <si>
    <t>Microsoft Teams Essentials</t>
  </si>
  <si>
    <t>Optional</t>
  </si>
  <si>
    <t>Current</t>
  </si>
  <si>
    <t>Microsoft 365 Business Standard</t>
  </si>
  <si>
    <t>Microsoft Exchange Online Archiving</t>
  </si>
  <si>
    <t>Microsoft Planner Plan 1</t>
  </si>
  <si>
    <t>Microsoft Office 365 Extra File Storage (GB)</t>
  </si>
  <si>
    <t>Microsoft Exchange Online (Plan 2)*</t>
  </si>
  <si>
    <t>No of Seats to be Ann</t>
  </si>
  <si>
    <t>Current Licensing - Recommended</t>
  </si>
  <si>
    <t>Total Seats</t>
  </si>
  <si>
    <t>Look at options for storage for users.</t>
  </si>
  <si>
    <t>e3 or e5</t>
  </si>
  <si>
    <t>Run report on largest users for email and file.</t>
  </si>
  <si>
    <t>]=============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</si>
</sst>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&quot;%&quot;"/>
  </numFmts>
  <fonts count="8" x14ac:knownFonts="1">
    <font>
      <sz val="10"/>
      <color rgb="FF000000"/>
      <name val="Arial"/>
      <scheme val="minor"/>
    </font>
    <font>
      <b/>
      <sz val="10"/>
      <color rgb="FF1F4776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2"/>
      <color rgb="FF3F3F76"/>
      <name val="Arial"/>
      <family val="2"/>
      <scheme val="minor"/>
    </font>
    <font>
      <sz val="11"/>
      <color rgb="FF3F3F76"/>
      <name val="Calibri"/>
      <family val="2"/>
    </font>
    <font>
      <sz val="10"/>
      <color rgb="FF3F3F76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FF4F8"/>
        <bgColor rgb="FFEFF4F8"/>
      </patternFill>
    </fill>
    <fill>
      <patternFill patternType="solid">
        <fgColor rgb="FFD0DEF1"/>
        <bgColor rgb="FFD0DEF1"/>
      </patternFill>
    </fill>
    <fill>
      <patternFill patternType="solid">
        <fgColor theme="4" tint="0.39997558519241921"/>
        <bgColor rgb="FF2B4B7D"/>
      </patternFill>
    </fill>
    <fill>
      <patternFill patternType="solid">
        <fgColor theme="4" tint="0.39997558519241921"/>
        <bgColor rgb="FFD7E2F8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/>
      <right/>
      <top style="thin">
        <color rgb="FF73777E"/>
      </top>
      <bottom style="thin">
        <color rgb="FF73777E"/>
      </bottom>
      <diagonal/>
    </border>
    <border>
      <left/>
      <right/>
      <top style="thin">
        <color rgb="FF1F4776"/>
      </top>
      <bottom style="double">
        <color rgb="FF1F477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4" fillId="7" borderId="3" applyNumberFormat="0" applyAlignment="0" applyProtection="0"/>
  </cellStyleXfs>
  <cellXfs count="22">
    <xf numFmtId="0" fontId="0" fillId="0" borderId="0" xfId="0"/>
    <xf numFmtId="0" fontId="1" fillId="5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/>
    </xf>
    <xf numFmtId="3" fontId="3" fillId="3" borderId="2" xfId="0" applyNumberFormat="1" applyFont="1" applyFill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165" fontId="3" fillId="3" borderId="2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6" borderId="0" xfId="0" applyFont="1" applyFill="1"/>
    <xf numFmtId="165" fontId="5" fillId="7" borderId="3" xfId="1" applyNumberFormat="1" applyFont="1" applyAlignment="1">
      <alignment horizontal="right" vertical="center"/>
    </xf>
    <xf numFmtId="3" fontId="5" fillId="7" borderId="3" xfId="1" applyNumberFormat="1" applyFont="1" applyAlignment="1">
      <alignment horizontal="right" vertical="center"/>
    </xf>
    <xf numFmtId="165" fontId="6" fillId="7" borderId="3" xfId="1" applyNumberFormat="1" applyFont="1" applyAlignment="1">
      <alignment horizontal="right" vertical="center"/>
    </xf>
    <xf numFmtId="3" fontId="6" fillId="7" borderId="3" xfId="1" applyNumberFormat="1" applyFont="1" applyAlignment="1">
      <alignment horizontal="right" vertical="center"/>
    </xf>
    <xf numFmtId="0" fontId="7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3"/>
  <sheetViews>
    <sheetView tabSelected="1" zoomScale="140" zoomScaleNormal="140" workbookViewId="0">
      <pane ySplit="2" topLeftCell="A3" activePane="bottomLeft" state="frozen"/>
      <selection pane="bottomLeft" activeCell="A34" sqref="A34"/>
    </sheetView>
  </sheetViews>
  <sheetFormatPr baseColWidth="10" defaultColWidth="12.6640625" defaultRowHeight="15.75" customHeight="1" x14ac:dyDescent="0.15"/>
  <cols>
    <col min="1" max="1" width="30.83203125" customWidth="1"/>
    <col min="2" max="2" width="8.5" bestFit="1" customWidth="1"/>
    <col min="3" max="3" width="11.1640625" customWidth="1"/>
    <col min="4" max="4" width="10.1640625" customWidth="1"/>
    <col min="5" max="5" width="12.6640625" customWidth="1"/>
    <col min="6" max="6" width="3.1640625" customWidth="1"/>
    <col min="7" max="7" width="13.1640625" customWidth="1"/>
    <col min="8" max="8" width="8.83203125" customWidth="1"/>
    <col min="9" max="10" width="7.6640625" customWidth="1"/>
    <col min="11" max="11" width="9.5" customWidth="1"/>
    <col min="12" max="12" width="10.83203125" customWidth="1"/>
    <col min="13" max="13" width="10" customWidth="1"/>
    <col min="14" max="14" width="3.1640625" customWidth="1"/>
    <col min="15" max="15" width="9.6640625" customWidth="1"/>
  </cols>
  <sheetData>
    <row r="1" spans="1:15" ht="22.5" customHeight="1" x14ac:dyDescent="0.15">
      <c r="A1" s="15" t="s">
        <v>25</v>
      </c>
      <c r="B1" s="15"/>
      <c r="C1" s="15" t="s">
        <v>0</v>
      </c>
      <c r="D1" s="15"/>
      <c r="E1" s="14" t="s">
        <v>1</v>
      </c>
      <c r="F1" s="14"/>
      <c r="G1" s="15" t="s">
        <v>2</v>
      </c>
      <c r="H1" s="15"/>
      <c r="I1" s="15"/>
      <c r="J1" s="15"/>
      <c r="K1" s="15" t="s">
        <v>3</v>
      </c>
      <c r="L1" s="15"/>
      <c r="M1" s="15"/>
      <c r="N1" s="14"/>
      <c r="O1" s="14"/>
    </row>
    <row r="2" spans="1:15" ht="27" customHeight="1" x14ac:dyDescent="0.15">
      <c r="A2" s="1" t="s">
        <v>4</v>
      </c>
      <c r="B2" s="1" t="s">
        <v>26</v>
      </c>
      <c r="C2" s="1" t="s">
        <v>10</v>
      </c>
      <c r="D2" s="1" t="s">
        <v>9</v>
      </c>
      <c r="E2" s="1" t="s">
        <v>5</v>
      </c>
      <c r="F2" s="1"/>
      <c r="G2" s="1" t="s">
        <v>6</v>
      </c>
      <c r="H2" s="1" t="s">
        <v>24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/>
      <c r="O2" s="1" t="s">
        <v>12</v>
      </c>
    </row>
    <row r="3" spans="1:15" ht="14" x14ac:dyDescent="0.15">
      <c r="A3" s="2" t="s">
        <v>13</v>
      </c>
      <c r="B3" s="3">
        <v>53</v>
      </c>
      <c r="C3" s="4">
        <v>68.2</v>
      </c>
      <c r="D3" s="4">
        <v>582</v>
      </c>
      <c r="E3" s="4">
        <f t="shared" ref="E3:E6" si="0">B3*C3*12</f>
        <v>43375.200000000004</v>
      </c>
      <c r="F3" s="2"/>
      <c r="G3" s="19">
        <v>20</v>
      </c>
      <c r="H3" s="20"/>
      <c r="I3" s="3">
        <f t="shared" ref="I3:I6" si="1">IF(ISNUMBER(H3), H3, ROUND(B3*(G3/100), 0))</f>
        <v>11</v>
      </c>
      <c r="J3" s="3">
        <f t="shared" ref="J3:J6" si="2">B3-I3</f>
        <v>42</v>
      </c>
      <c r="K3" s="4">
        <f t="shared" ref="K3:K6" si="3">I3*D3</f>
        <v>6402</v>
      </c>
      <c r="L3" s="4">
        <f t="shared" ref="L3:L6" si="4">J3*C3*12</f>
        <v>34372.800000000003</v>
      </c>
      <c r="M3" s="4">
        <f t="shared" ref="M3:M6" si="5">K3+L3</f>
        <v>40774.800000000003</v>
      </c>
      <c r="N3" s="2"/>
      <c r="O3" s="4">
        <f t="shared" ref="O3:O6" si="6">E3-M3</f>
        <v>2600.4000000000015</v>
      </c>
    </row>
    <row r="4" spans="1:15" ht="14" x14ac:dyDescent="0.15">
      <c r="A4" s="2" t="s">
        <v>14</v>
      </c>
      <c r="B4" s="3">
        <v>91</v>
      </c>
      <c r="C4" s="4">
        <v>9.7200000000000006</v>
      </c>
      <c r="D4" s="4">
        <v>97.2</v>
      </c>
      <c r="E4" s="4">
        <f t="shared" si="0"/>
        <v>10614.240000000002</v>
      </c>
      <c r="F4" s="2"/>
      <c r="G4" s="19">
        <v>0</v>
      </c>
      <c r="H4" s="20"/>
      <c r="I4" s="3">
        <f t="shared" si="1"/>
        <v>0</v>
      </c>
      <c r="J4" s="3">
        <f t="shared" si="2"/>
        <v>91</v>
      </c>
      <c r="K4" s="4">
        <f t="shared" si="3"/>
        <v>0</v>
      </c>
      <c r="L4" s="4">
        <f t="shared" si="4"/>
        <v>10614.240000000002</v>
      </c>
      <c r="M4" s="4">
        <f t="shared" si="5"/>
        <v>10614.240000000002</v>
      </c>
      <c r="N4" s="2"/>
      <c r="O4" s="4">
        <f t="shared" si="6"/>
        <v>0</v>
      </c>
    </row>
    <row r="5" spans="1:15" ht="14" x14ac:dyDescent="0.15">
      <c r="A5" s="2" t="s">
        <v>15</v>
      </c>
      <c r="B5" s="3">
        <v>17</v>
      </c>
      <c r="C5" s="4">
        <v>44.04</v>
      </c>
      <c r="D5" s="4">
        <v>367.2</v>
      </c>
      <c r="E5" s="4">
        <f t="shared" si="0"/>
        <v>8984.16</v>
      </c>
      <c r="F5" s="2"/>
      <c r="G5" s="19">
        <v>0</v>
      </c>
      <c r="H5" s="20"/>
      <c r="I5" s="3">
        <f t="shared" si="1"/>
        <v>0</v>
      </c>
      <c r="J5" s="3">
        <f t="shared" si="2"/>
        <v>17</v>
      </c>
      <c r="K5" s="4">
        <f t="shared" si="3"/>
        <v>0</v>
      </c>
      <c r="L5" s="4">
        <f t="shared" si="4"/>
        <v>8984.16</v>
      </c>
      <c r="M5" s="4">
        <f t="shared" si="5"/>
        <v>8984.16</v>
      </c>
      <c r="N5" s="2"/>
      <c r="O5" s="4">
        <f t="shared" si="6"/>
        <v>0</v>
      </c>
    </row>
    <row r="6" spans="1:15" ht="14" x14ac:dyDescent="0.15">
      <c r="A6" s="2" t="s">
        <v>16</v>
      </c>
      <c r="B6" s="3">
        <v>17</v>
      </c>
      <c r="C6" s="4">
        <v>8.8000000000000007</v>
      </c>
      <c r="D6" s="4">
        <v>78</v>
      </c>
      <c r="E6" s="4">
        <f t="shared" si="0"/>
        <v>1795.2000000000003</v>
      </c>
      <c r="F6" s="2"/>
      <c r="G6" s="19">
        <v>0</v>
      </c>
      <c r="H6" s="20"/>
      <c r="I6" s="3">
        <f t="shared" si="1"/>
        <v>0</v>
      </c>
      <c r="J6" s="3">
        <f t="shared" si="2"/>
        <v>17</v>
      </c>
      <c r="K6" s="4">
        <f t="shared" si="3"/>
        <v>0</v>
      </c>
      <c r="L6" s="4">
        <f t="shared" si="4"/>
        <v>1795.2000000000003</v>
      </c>
      <c r="M6" s="4">
        <f t="shared" si="5"/>
        <v>1795.2000000000003</v>
      </c>
      <c r="N6" s="2"/>
      <c r="O6" s="4">
        <f t="shared" si="6"/>
        <v>0</v>
      </c>
    </row>
    <row r="7" spans="1:15" ht="14" x14ac:dyDescent="0.15">
      <c r="A7" s="2"/>
      <c r="B7" s="3"/>
      <c r="C7" s="4"/>
      <c r="D7" s="4"/>
      <c r="E7" s="4"/>
      <c r="F7" s="2"/>
      <c r="G7" s="5"/>
      <c r="H7" s="3"/>
      <c r="I7" s="3"/>
      <c r="J7" s="3"/>
      <c r="K7" s="4"/>
      <c r="L7" s="4"/>
      <c r="M7" s="4"/>
      <c r="N7" s="2"/>
      <c r="O7" s="4"/>
    </row>
    <row r="8" spans="1:15" ht="21" customHeight="1" x14ac:dyDescent="0.15">
      <c r="A8" s="6"/>
      <c r="B8" s="7">
        <f>SUM(B3:B6)</f>
        <v>178</v>
      </c>
      <c r="C8" s="8"/>
      <c r="D8" s="8"/>
      <c r="E8" s="8">
        <f>SUM(E3:E6)</f>
        <v>64768.800000000003</v>
      </c>
      <c r="F8" s="6"/>
      <c r="G8" s="9"/>
      <c r="H8" s="7"/>
      <c r="I8" s="7">
        <f t="shared" ref="I8:M8" si="7">SUM(I3:I6)</f>
        <v>11</v>
      </c>
      <c r="J8" s="7">
        <f t="shared" si="7"/>
        <v>167</v>
      </c>
      <c r="K8" s="8">
        <f t="shared" si="7"/>
        <v>6402</v>
      </c>
      <c r="L8" s="8">
        <f t="shared" si="7"/>
        <v>55766.400000000009</v>
      </c>
      <c r="M8" s="8">
        <f t="shared" si="7"/>
        <v>62168.400000000009</v>
      </c>
      <c r="N8" s="6"/>
      <c r="O8" s="8">
        <f>SUM(O3:O6)</f>
        <v>2600.4000000000015</v>
      </c>
    </row>
    <row r="9" spans="1:15" ht="14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4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2.5" customHeight="1" x14ac:dyDescent="0.2">
      <c r="A11" s="15" t="s">
        <v>17</v>
      </c>
      <c r="B11" s="16"/>
      <c r="C11" s="15" t="s">
        <v>0</v>
      </c>
      <c r="D11" s="16"/>
      <c r="E11" s="14" t="s">
        <v>18</v>
      </c>
      <c r="F11" s="14"/>
      <c r="G11" s="15" t="s">
        <v>2</v>
      </c>
      <c r="H11" s="16"/>
      <c r="I11" s="16"/>
      <c r="J11" s="16"/>
      <c r="K11" s="15" t="s">
        <v>3</v>
      </c>
      <c r="L11" s="16"/>
      <c r="M11" s="16"/>
      <c r="N11" s="14"/>
      <c r="O11" s="14"/>
    </row>
    <row r="12" spans="1:15" ht="27" customHeight="1" x14ac:dyDescent="0.15">
      <c r="A12" s="1" t="s">
        <v>4</v>
      </c>
      <c r="B12" s="1" t="s">
        <v>26</v>
      </c>
      <c r="C12" s="1" t="s">
        <v>10</v>
      </c>
      <c r="D12" s="1" t="s">
        <v>9</v>
      </c>
      <c r="E12" s="1" t="s">
        <v>5</v>
      </c>
      <c r="F12" s="1"/>
      <c r="G12" s="1" t="s">
        <v>6</v>
      </c>
      <c r="H12" s="1" t="s">
        <v>24</v>
      </c>
      <c r="I12" s="1" t="s">
        <v>7</v>
      </c>
      <c r="J12" s="1" t="s">
        <v>8</v>
      </c>
      <c r="K12" s="1" t="s">
        <v>9</v>
      </c>
      <c r="L12" s="1" t="s">
        <v>10</v>
      </c>
      <c r="M12" s="1" t="s">
        <v>11</v>
      </c>
      <c r="N12" s="1"/>
      <c r="O12" s="1" t="s">
        <v>12</v>
      </c>
    </row>
    <row r="13" spans="1:15" ht="15" x14ac:dyDescent="0.15">
      <c r="A13" s="2" t="s">
        <v>19</v>
      </c>
      <c r="B13" s="3">
        <v>68</v>
      </c>
      <c r="C13" s="4">
        <v>27.12</v>
      </c>
      <c r="D13" s="4">
        <v>281.2</v>
      </c>
      <c r="E13" s="4">
        <f t="shared" ref="E13:E17" si="8">B13*C13*12</f>
        <v>22129.920000000002</v>
      </c>
      <c r="F13" s="2"/>
      <c r="G13" s="17">
        <v>50</v>
      </c>
      <c r="H13" s="18"/>
      <c r="I13" s="3">
        <f t="shared" ref="I13:I17" si="9">IF(ISNUMBER(H13), H13, ROUND(B13*(G13/100), 0))</f>
        <v>34</v>
      </c>
      <c r="J13" s="3">
        <f t="shared" ref="J13:J17" si="10">B13-I13</f>
        <v>34</v>
      </c>
      <c r="K13" s="4">
        <f t="shared" ref="K13:K17" si="11">I13*D13</f>
        <v>9560.7999999999993</v>
      </c>
      <c r="L13" s="4">
        <f t="shared" ref="L13:L17" si="12">J13*C13*12</f>
        <v>11064.960000000001</v>
      </c>
      <c r="M13" s="4">
        <f t="shared" ref="M13:M17" si="13">K13+L13</f>
        <v>20625.760000000002</v>
      </c>
      <c r="N13" s="2"/>
      <c r="O13" s="4">
        <f t="shared" ref="O13:O17" si="14">E13-M13</f>
        <v>1504.1599999999999</v>
      </c>
    </row>
    <row r="14" spans="1:15" ht="15" x14ac:dyDescent="0.15">
      <c r="A14" s="2" t="s">
        <v>20</v>
      </c>
      <c r="B14" s="3">
        <v>10</v>
      </c>
      <c r="C14" s="4">
        <v>7.88</v>
      </c>
      <c r="D14" s="4">
        <v>78.8</v>
      </c>
      <c r="E14" s="4">
        <f t="shared" si="8"/>
        <v>945.59999999999991</v>
      </c>
      <c r="F14" s="2"/>
      <c r="G14" s="17">
        <v>0</v>
      </c>
      <c r="H14" s="18"/>
      <c r="I14" s="3">
        <f t="shared" si="9"/>
        <v>0</v>
      </c>
      <c r="J14" s="3">
        <f t="shared" si="10"/>
        <v>10</v>
      </c>
      <c r="K14" s="4">
        <f t="shared" si="11"/>
        <v>0</v>
      </c>
      <c r="L14" s="4">
        <f t="shared" si="12"/>
        <v>945.59999999999991</v>
      </c>
      <c r="M14" s="4">
        <f t="shared" si="13"/>
        <v>945.59999999999991</v>
      </c>
      <c r="N14" s="2"/>
      <c r="O14" s="4">
        <f t="shared" si="14"/>
        <v>0</v>
      </c>
    </row>
    <row r="15" spans="1:15" ht="15" x14ac:dyDescent="0.15">
      <c r="A15" s="2" t="s">
        <v>21</v>
      </c>
      <c r="B15" s="3">
        <v>1</v>
      </c>
      <c r="C15" s="4">
        <v>20.440000000000001</v>
      </c>
      <c r="D15" s="4">
        <v>204.4</v>
      </c>
      <c r="E15" s="4">
        <f t="shared" si="8"/>
        <v>245.28000000000003</v>
      </c>
      <c r="F15" s="2"/>
      <c r="G15" s="17">
        <v>0</v>
      </c>
      <c r="H15" s="18"/>
      <c r="I15" s="3">
        <f t="shared" si="9"/>
        <v>0</v>
      </c>
      <c r="J15" s="3">
        <f t="shared" si="10"/>
        <v>1</v>
      </c>
      <c r="K15" s="4">
        <f t="shared" si="11"/>
        <v>0</v>
      </c>
      <c r="L15" s="4">
        <f t="shared" si="12"/>
        <v>245.28000000000003</v>
      </c>
      <c r="M15" s="4">
        <f t="shared" si="13"/>
        <v>245.28000000000003</v>
      </c>
      <c r="N15" s="2"/>
      <c r="O15" s="4">
        <f t="shared" si="14"/>
        <v>0</v>
      </c>
    </row>
    <row r="16" spans="1:15" ht="15" x14ac:dyDescent="0.15">
      <c r="A16" s="2" t="s">
        <v>22</v>
      </c>
      <c r="B16" s="3">
        <v>2000</v>
      </c>
      <c r="C16" s="4">
        <v>0.4</v>
      </c>
      <c r="D16" s="4">
        <v>4.8</v>
      </c>
      <c r="E16" s="4">
        <f t="shared" si="8"/>
        <v>9600</v>
      </c>
      <c r="F16" s="2"/>
      <c r="G16" s="17">
        <v>100</v>
      </c>
      <c r="H16" s="18"/>
      <c r="I16" s="3">
        <f t="shared" si="9"/>
        <v>2000</v>
      </c>
      <c r="J16" s="3">
        <f t="shared" si="10"/>
        <v>0</v>
      </c>
      <c r="K16" s="4">
        <f t="shared" si="11"/>
        <v>9600</v>
      </c>
      <c r="L16" s="4">
        <f t="shared" si="12"/>
        <v>0</v>
      </c>
      <c r="M16" s="4">
        <f t="shared" si="13"/>
        <v>9600</v>
      </c>
      <c r="N16" s="2"/>
      <c r="O16" s="4">
        <f t="shared" si="14"/>
        <v>0</v>
      </c>
    </row>
    <row r="17" spans="1:15" ht="15" x14ac:dyDescent="0.15">
      <c r="A17" s="2" t="s">
        <v>23</v>
      </c>
      <c r="B17" s="3">
        <v>9</v>
      </c>
      <c r="C17" s="4">
        <v>11.29</v>
      </c>
      <c r="D17" s="4">
        <v>135.47999999999999</v>
      </c>
      <c r="E17" s="4">
        <f t="shared" si="8"/>
        <v>1219.3199999999997</v>
      </c>
      <c r="F17" s="2"/>
      <c r="G17" s="17">
        <v>0</v>
      </c>
      <c r="H17" s="18"/>
      <c r="I17" s="3">
        <f t="shared" si="9"/>
        <v>0</v>
      </c>
      <c r="J17" s="3">
        <f t="shared" si="10"/>
        <v>9</v>
      </c>
      <c r="K17" s="4">
        <f t="shared" si="11"/>
        <v>0</v>
      </c>
      <c r="L17" s="4">
        <f t="shared" si="12"/>
        <v>1219.3199999999997</v>
      </c>
      <c r="M17" s="4">
        <f t="shared" si="13"/>
        <v>1219.3199999999997</v>
      </c>
      <c r="N17" s="2"/>
      <c r="O17" s="4">
        <f t="shared" si="14"/>
        <v>0</v>
      </c>
    </row>
    <row r="18" spans="1:15" ht="14" x14ac:dyDescent="0.15">
      <c r="A18" s="2"/>
      <c r="B18" s="3"/>
      <c r="C18" s="4"/>
      <c r="D18" s="4"/>
      <c r="E18" s="4"/>
      <c r="F18" s="2"/>
      <c r="G18" s="5"/>
      <c r="H18" s="3"/>
      <c r="I18" s="3"/>
      <c r="J18" s="3"/>
      <c r="K18" s="4"/>
      <c r="L18" s="4"/>
      <c r="M18" s="4"/>
      <c r="N18" s="2"/>
      <c r="O18" s="4"/>
    </row>
    <row r="19" spans="1:15" ht="21" customHeight="1" x14ac:dyDescent="0.15">
      <c r="A19" s="6"/>
      <c r="B19" s="7">
        <f>SUM(B13:B17)</f>
        <v>2088</v>
      </c>
      <c r="C19" s="8"/>
      <c r="D19" s="8"/>
      <c r="E19" s="8">
        <f>SUM(E13:E17)</f>
        <v>34140.120000000003</v>
      </c>
      <c r="F19" s="6"/>
      <c r="G19" s="9"/>
      <c r="H19" s="7"/>
      <c r="I19" s="7">
        <f t="shared" ref="I19:M19" si="15">SUM(I13:I17)</f>
        <v>2034</v>
      </c>
      <c r="J19" s="7">
        <f t="shared" si="15"/>
        <v>54</v>
      </c>
      <c r="K19" s="8">
        <f t="shared" si="15"/>
        <v>19160.8</v>
      </c>
      <c r="L19" s="8">
        <f t="shared" si="15"/>
        <v>13475.160000000002</v>
      </c>
      <c r="M19" s="8">
        <f t="shared" si="15"/>
        <v>32635.96</v>
      </c>
      <c r="N19" s="6"/>
      <c r="O19" s="8">
        <f>SUM(O13:O17)</f>
        <v>1504.1599999999999</v>
      </c>
    </row>
    <row r="20" spans="1:15" ht="14" x14ac:dyDescent="0.15">
      <c r="A20" s="2"/>
      <c r="B20" s="3"/>
      <c r="C20" s="4"/>
      <c r="D20" s="4"/>
      <c r="E20" s="4"/>
      <c r="F20" s="2"/>
      <c r="G20" s="5"/>
      <c r="H20" s="3"/>
      <c r="I20" s="3"/>
      <c r="J20" s="3"/>
      <c r="K20" s="4"/>
      <c r="L20" s="4"/>
      <c r="M20" s="4"/>
      <c r="N20" s="2"/>
      <c r="O20" s="4"/>
    </row>
    <row r="21" spans="1:15" ht="24" customHeight="1" x14ac:dyDescent="0.15">
      <c r="A21" s="10"/>
      <c r="B21" s="11">
        <f>B8+B19</f>
        <v>2266</v>
      </c>
      <c r="C21" s="12"/>
      <c r="D21" s="12"/>
      <c r="E21" s="12">
        <f>E8+E19</f>
        <v>98908.920000000013</v>
      </c>
      <c r="F21" s="10"/>
      <c r="G21" s="13"/>
      <c r="H21" s="11"/>
      <c r="I21" s="11">
        <f t="shared" ref="I21:M21" si="16">I8+I19</f>
        <v>2045</v>
      </c>
      <c r="J21" s="11">
        <f t="shared" si="16"/>
        <v>221</v>
      </c>
      <c r="K21" s="12">
        <f t="shared" si="16"/>
        <v>25562.799999999999</v>
      </c>
      <c r="L21" s="12">
        <f t="shared" si="16"/>
        <v>69241.560000000012</v>
      </c>
      <c r="M21" s="12">
        <f t="shared" si="16"/>
        <v>94804.360000000015</v>
      </c>
      <c r="N21" s="10"/>
      <c r="O21" s="12">
        <f>O8+O19</f>
        <v>4104.5600000000013</v>
      </c>
    </row>
    <row r="26" spans="1:15" ht="15.75" customHeight="1" x14ac:dyDescent="0.15">
      <c r="B26" s="21" t="s">
        <v>28</v>
      </c>
    </row>
    <row r="28" spans="1:15" ht="15.75" customHeight="1" x14ac:dyDescent="0.15">
      <c r="A28" s="21" t="s">
        <v>27</v>
      </c>
    </row>
    <row r="30" spans="1:15" ht="15.75" customHeight="1" x14ac:dyDescent="0.15">
      <c r="A30" s="21" t="s">
        <v>29</v>
      </c>
    </row>
    <row r="33" spans="1:1" ht="15.75" customHeight="1" x14ac:dyDescent="0.15">
      <c r="A33" s="21" t="s">
        <v>30</v>
      </c>
    </row>
  </sheetData>
  <mergeCells count="8">
    <mergeCell ref="A1:B1"/>
    <mergeCell ref="C1:D1"/>
    <mergeCell ref="G1:J1"/>
    <mergeCell ref="K1:M1"/>
    <mergeCell ref="A11:B11"/>
    <mergeCell ref="C11:D11"/>
    <mergeCell ref="G11:J11"/>
    <mergeCell ref="K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Blackman</cp:lastModifiedBy>
  <dcterms:created xsi:type="dcterms:W3CDTF">2026-09-08T00:13:31Z</dcterms:created>
  <dcterms:modified xsi:type="dcterms:W3CDTF">2026-09-08T11:34:01Z</dcterms:modified>
</cp:coreProperties>
</file>