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Documents/"/>
    </mc:Choice>
  </mc:AlternateContent>
  <xr:revisionPtr revIDLastSave="0" documentId="8_{19134E3C-D6FE-194F-A4C1-B69D2DD2BBA3}" xr6:coauthVersionLast="47" xr6:coauthVersionMax="47" xr10:uidLastSave="{00000000-0000-0000-0000-000000000000}"/>
  <bookViews>
    <workbookView xWindow="-30240" yWindow="9840" windowWidth="30240" windowHeight="18960" activeTab="1" xr2:uid="{1C57CC6F-7818-453A-9546-8FF863022BD1}"/>
  </bookViews>
  <sheets>
    <sheet name="Invoice_141787_2026-06-30" sheetId="1" r:id="rId1"/>
    <sheet name="By Custom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2" l="1"/>
  <c r="D49" i="2"/>
  <c r="F48" i="2"/>
  <c r="F19" i="2"/>
  <c r="E117" i="2"/>
  <c r="C114" i="2"/>
  <c r="D114" i="2"/>
  <c r="F114" i="2"/>
  <c r="E113" i="2"/>
  <c r="G113" i="2" s="1"/>
  <c r="E112" i="2"/>
  <c r="G112" i="2" s="1"/>
  <c r="C110" i="2"/>
  <c r="D110" i="2"/>
  <c r="F110" i="2"/>
  <c r="G109" i="2"/>
  <c r="E109" i="2"/>
  <c r="E108" i="2"/>
  <c r="G108" i="2" s="1"/>
  <c r="C106" i="2"/>
  <c r="D106" i="2"/>
  <c r="F106" i="2"/>
  <c r="E105" i="2"/>
  <c r="G105" i="2" s="1"/>
  <c r="E104" i="2"/>
  <c r="G104" i="2" s="1"/>
  <c r="G106" i="2" s="1"/>
  <c r="C102" i="2"/>
  <c r="D102" i="2"/>
  <c r="F102" i="2"/>
  <c r="E101" i="2"/>
  <c r="C99" i="2"/>
  <c r="D99" i="2"/>
  <c r="F99" i="2"/>
  <c r="E98" i="2"/>
  <c r="G98" i="2" s="1"/>
  <c r="E97" i="2"/>
  <c r="C95" i="2"/>
  <c r="D95" i="2"/>
  <c r="F95" i="2"/>
  <c r="E94" i="2"/>
  <c r="G94" i="2" s="1"/>
  <c r="E93" i="2"/>
  <c r="C91" i="2"/>
  <c r="D91" i="2"/>
  <c r="F91" i="2"/>
  <c r="E90" i="2"/>
  <c r="G90" i="2" s="1"/>
  <c r="G91" i="2" s="1"/>
  <c r="G89" i="2"/>
  <c r="E89" i="2"/>
  <c r="C87" i="2"/>
  <c r="D87" i="2"/>
  <c r="F87" i="2"/>
  <c r="E86" i="2"/>
  <c r="G86" i="2" s="1"/>
  <c r="E85" i="2"/>
  <c r="G85" i="2" s="1"/>
  <c r="E84" i="2"/>
  <c r="C82" i="2"/>
  <c r="D82" i="2"/>
  <c r="F82" i="2"/>
  <c r="E81" i="2"/>
  <c r="G81" i="2" s="1"/>
  <c r="E80" i="2"/>
  <c r="G80" i="2" s="1"/>
  <c r="C78" i="2"/>
  <c r="D78" i="2"/>
  <c r="F78" i="2"/>
  <c r="E77" i="2"/>
  <c r="G77" i="2" s="1"/>
  <c r="E76" i="2"/>
  <c r="G76" i="2" s="1"/>
  <c r="C74" i="2"/>
  <c r="D74" i="2"/>
  <c r="F74" i="2"/>
  <c r="E73" i="2"/>
  <c r="G73" i="2" s="1"/>
  <c r="E72" i="2"/>
  <c r="G72" i="2" s="1"/>
  <c r="C70" i="2"/>
  <c r="D70" i="2"/>
  <c r="F70" i="2"/>
  <c r="E69" i="2"/>
  <c r="G69" i="2" s="1"/>
  <c r="E68" i="2"/>
  <c r="G68" i="2" s="1"/>
  <c r="G70" i="2" s="1"/>
  <c r="C66" i="2"/>
  <c r="D66" i="2"/>
  <c r="F66" i="2"/>
  <c r="E65" i="2"/>
  <c r="G65" i="2" s="1"/>
  <c r="E64" i="2"/>
  <c r="G64" i="2" s="1"/>
  <c r="C62" i="2"/>
  <c r="D62" i="2"/>
  <c r="F62" i="2"/>
  <c r="E61" i="2"/>
  <c r="C59" i="2"/>
  <c r="D59" i="2"/>
  <c r="F59" i="2"/>
  <c r="E58" i="2"/>
  <c r="G58" i="2" s="1"/>
  <c r="E57" i="2"/>
  <c r="G57" i="2" s="1"/>
  <c r="C55" i="2"/>
  <c r="D55" i="2"/>
  <c r="F55" i="2"/>
  <c r="E54" i="2"/>
  <c r="G54" i="2" s="1"/>
  <c r="E53" i="2"/>
  <c r="G53" i="2" s="1"/>
  <c r="E52" i="2"/>
  <c r="G52" i="2" s="1"/>
  <c r="G51" i="2"/>
  <c r="E51" i="2"/>
  <c r="E47" i="2"/>
  <c r="G47" i="2" s="1"/>
  <c r="E46" i="2"/>
  <c r="G46" i="2" s="1"/>
  <c r="E45" i="2"/>
  <c r="C43" i="2"/>
  <c r="D43" i="2"/>
  <c r="F43" i="2"/>
  <c r="E42" i="2"/>
  <c r="G42" i="2" s="1"/>
  <c r="E41" i="2"/>
  <c r="C39" i="2"/>
  <c r="D39" i="2"/>
  <c r="F39" i="2"/>
  <c r="E38" i="2"/>
  <c r="G38" i="2" s="1"/>
  <c r="E37" i="2"/>
  <c r="G37" i="2" s="1"/>
  <c r="E36" i="2"/>
  <c r="G36" i="2" s="1"/>
  <c r="E35" i="2"/>
  <c r="G35" i="2" s="1"/>
  <c r="E34" i="2"/>
  <c r="C32" i="2"/>
  <c r="D32" i="2"/>
  <c r="F32" i="2"/>
  <c r="E31" i="2"/>
  <c r="G31" i="2" s="1"/>
  <c r="E30" i="2"/>
  <c r="G30" i="2" s="1"/>
  <c r="E29" i="2"/>
  <c r="C27" i="2"/>
  <c r="D27" i="2"/>
  <c r="F27" i="2"/>
  <c r="E26" i="2"/>
  <c r="G26" i="2" s="1"/>
  <c r="E25" i="2"/>
  <c r="C23" i="2"/>
  <c r="D23" i="2"/>
  <c r="F23" i="2"/>
  <c r="E22" i="2"/>
  <c r="G22" i="2" s="1"/>
  <c r="E21" i="2"/>
  <c r="C19" i="2"/>
  <c r="D19" i="2"/>
  <c r="E18" i="2"/>
  <c r="G18" i="2" s="1"/>
  <c r="E17" i="2"/>
  <c r="C15" i="2"/>
  <c r="D15" i="2"/>
  <c r="F15" i="2"/>
  <c r="E14" i="2"/>
  <c r="G14" i="2" s="1"/>
  <c r="E13" i="2"/>
  <c r="C11" i="2"/>
  <c r="D11" i="2"/>
  <c r="F11" i="2"/>
  <c r="E10" i="2"/>
  <c r="G10" i="2" s="1"/>
  <c r="E9" i="2"/>
  <c r="C7" i="2"/>
  <c r="D7" i="2"/>
  <c r="F7" i="2"/>
  <c r="E6" i="2"/>
  <c r="G6" i="2" s="1"/>
  <c r="E5" i="2"/>
  <c r="E82" i="2" l="1"/>
  <c r="E78" i="2"/>
  <c r="E66" i="2"/>
  <c r="E91" i="2"/>
  <c r="E74" i="2"/>
  <c r="E70" i="2"/>
  <c r="E114" i="2"/>
  <c r="F49" i="2"/>
  <c r="F117" i="2"/>
  <c r="G117" i="2" s="1"/>
  <c r="E102" i="2"/>
  <c r="G101" i="2"/>
  <c r="G102" i="2" s="1"/>
  <c r="E99" i="2"/>
  <c r="G97" i="2"/>
  <c r="G99" i="2" s="1"/>
  <c r="E95" i="2"/>
  <c r="G93" i="2"/>
  <c r="E87" i="2"/>
  <c r="G84" i="2"/>
  <c r="E62" i="2"/>
  <c r="G61" i="2"/>
  <c r="G62" i="2" s="1"/>
  <c r="G66" i="2"/>
  <c r="G95" i="2"/>
  <c r="G87" i="2"/>
  <c r="G82" i="2"/>
  <c r="G78" i="2"/>
  <c r="G74" i="2"/>
  <c r="G114" i="2"/>
  <c r="G110" i="2"/>
  <c r="E110" i="2"/>
  <c r="E106" i="2"/>
  <c r="E55" i="2"/>
  <c r="G59" i="2"/>
  <c r="E59" i="2"/>
  <c r="E49" i="2"/>
  <c r="G45" i="2"/>
  <c r="G49" i="2" s="1"/>
  <c r="G55" i="2"/>
  <c r="E43" i="2"/>
  <c r="G41" i="2"/>
  <c r="G43" i="2" s="1"/>
  <c r="G34" i="2"/>
  <c r="G39" i="2" s="1"/>
  <c r="E39" i="2"/>
  <c r="G29" i="2"/>
  <c r="G32" i="2" s="1"/>
  <c r="E32" i="2"/>
  <c r="E27" i="2"/>
  <c r="G25" i="2"/>
  <c r="E23" i="2"/>
  <c r="G21" i="2"/>
  <c r="E19" i="2"/>
  <c r="G17" i="2"/>
  <c r="G13" i="2"/>
  <c r="G15" i="2" s="1"/>
  <c r="E15" i="2"/>
  <c r="E11" i="2"/>
  <c r="G9" i="2"/>
  <c r="G11" i="2" s="1"/>
  <c r="E7" i="2"/>
  <c r="G5" i="2"/>
  <c r="G27" i="2"/>
  <c r="G23" i="2"/>
  <c r="G19" i="2"/>
  <c r="G7" i="2"/>
</calcChain>
</file>

<file path=xl/sharedStrings.xml><?xml version="1.0" encoding="utf-8"?>
<sst xmlns="http://schemas.openxmlformats.org/spreadsheetml/2006/main" count="935" uniqueCount="303">
  <si>
    <t>Invoice Number</t>
  </si>
  <si>
    <t>Date</t>
  </si>
  <si>
    <t>Item Id</t>
  </si>
  <si>
    <t>Short Description</t>
  </si>
  <si>
    <t>Description</t>
  </si>
  <si>
    <t>Amount</t>
  </si>
  <si>
    <t>Product Id</t>
  </si>
  <si>
    <t>Group Name</t>
  </si>
  <si>
    <t>Service Type</t>
  </si>
  <si>
    <t>Customer Name</t>
  </si>
  <si>
    <t>Customer Reference</t>
  </si>
  <si>
    <t>Service Item</t>
  </si>
  <si>
    <t>Service Item Uuid</t>
  </si>
  <si>
    <t>IP Address</t>
  </si>
  <si>
    <t>ASID</t>
  </si>
  <si>
    <t>Service Order</t>
  </si>
  <si>
    <t>Product</t>
  </si>
  <si>
    <t>Contract Term</t>
  </si>
  <si>
    <t>Ratecard</t>
  </si>
  <si>
    <t>Product Name</t>
  </si>
  <si>
    <t>Quantity</t>
  </si>
  <si>
    <t>Start Date</t>
  </si>
  <si>
    <t>End Date</t>
  </si>
  <si>
    <t>Service Inception</t>
  </si>
  <si>
    <t>External Reference</t>
  </si>
  <si>
    <t>Username</t>
  </si>
  <si>
    <t>Contact Name</t>
  </si>
  <si>
    <t>Toll Free Number - 0508 247253 (01/07/2026 - 31/07/2026)</t>
  </si>
  <si>
    <t>VoIP</t>
  </si>
  <si>
    <t>Voice</t>
  </si>
  <si>
    <t>Circle IT</t>
  </si>
  <si>
    <t>0508247253</t>
  </si>
  <si>
    <t>fb04457a-1eba-5579-9f29-4d56bb5523fa</t>
  </si>
  <si>
    <t>Toll Free Number</t>
  </si>
  <si>
    <t>0800_rates_wholesale_Net7</t>
  </si>
  <si>
    <t>Toll Free Number - 0800 101510 (01/07/2026 - 31/07/2026)</t>
  </si>
  <si>
    <t>Leukaemia Foundation</t>
  </si>
  <si>
    <t>0800101510</t>
  </si>
  <si>
    <t>81c7a92e-448b-5c49-bd24-f531227b18c9</t>
  </si>
  <si>
    <t>Darren Wong</t>
  </si>
  <si>
    <t>Toll Free Number - 0800 151015 (01/07/2026 - 31/07/2026)</t>
  </si>
  <si>
    <t>0800151015</t>
  </si>
  <si>
    <t>f98b5da8-9b3a-5313-bb99-936c536aa4b4</t>
  </si>
  <si>
    <t>Fax 2 Email - 09 2555213 (01/07/2026 - 31/07/2026)</t>
  </si>
  <si>
    <t>e314250c-283a-5359-bd2f-d9d19a56584f</t>
  </si>
  <si>
    <t>Fax 2 Email</t>
  </si>
  <si>
    <t>rate_wholesale_Net7</t>
  </si>
  <si>
    <t>Fax 2 Email - 09 2679431 (01/07/2026 - 31/07/2026)</t>
  </si>
  <si>
    <t>d9f35d1d-7884-5cf0-a95a-829142bcc801</t>
  </si>
  <si>
    <t>Fax 2 Email - 09 5216507  (01/07/2026 - 31/07/2026)</t>
  </si>
  <si>
    <t>bfcf9e01-76b9-54a2-b451-8eb3de3c39f0</t>
  </si>
  <si>
    <t>Fax 2 Email - 09 6383557 (01/07/2026 - 31/07/2026)</t>
  </si>
  <si>
    <t>96ebd12c-04ff-5d1f-b324-0111bdac5d77</t>
  </si>
  <si>
    <t>UFB - Small Business Fibre 500 - 1636501970 (Order: 107254980) (01/07/2026 - 31/07/2026)
Contract Term: Casual</t>
  </si>
  <si>
    <t>Chorus UFB</t>
  </si>
  <si>
    <t>Circle IT - 34 Jervois Road</t>
  </si>
  <si>
    <t>7516017c-5d57-5761-b299-a28cd8b22a10</t>
  </si>
  <si>
    <t>14.1.46.69</t>
  </si>
  <si>
    <t>UFB - Small Business Fibre 500</t>
  </si>
  <si>
    <t>casual</t>
  </si>
  <si>
    <t>circle-office@circlenet.co.nz</t>
  </si>
  <si>
    <t>UFB - Home Fibre 920 - 1636548917 (Order: 101397116) (01/07/2026 - 31/07/2026)
Contract Term: 24 Month Term</t>
  </si>
  <si>
    <t>Rebecca Wong</t>
  </si>
  <si>
    <t>Rebecca Wong - 90 Bramley Drive</t>
  </si>
  <si>
    <t>54f1331d-6351-52b6-8254-16a499bbe6e6</t>
  </si>
  <si>
    <t>14.1.46.90</t>
  </si>
  <si>
    <t>UFB - Home Fibre 920</t>
  </si>
  <si>
    <t>24 months</t>
  </si>
  <si>
    <t>circle-bramley@circlenet.co.nz</t>
  </si>
  <si>
    <t>UFB - Small Business Fibre 500 - 1637725796 (Order: 107255133) (01/07/2026 - 31/07/2026)
Contract Term: Casual</t>
  </si>
  <si>
    <t>Prodesigners</t>
  </si>
  <si>
    <t>Prodesigners - 10 Aylesbury Street</t>
  </si>
  <si>
    <t>01eabfb3-5a6d-517f-9e7b-19ae9dc04c40</t>
  </si>
  <si>
    <t>14.1.46.68</t>
  </si>
  <si>
    <t>prodesigners@circlenet.co.nz</t>
  </si>
  <si>
    <t>UFB - Small Business Fibre 920 - 1638076641 (Order: 104896918) (01/07/2026 - 31/07/2026)
Contract Term: 24 Month Term</t>
  </si>
  <si>
    <t>Renegade Fitness</t>
  </si>
  <si>
    <t>Renegade Fitness - 5 Nandina Avenue</t>
  </si>
  <si>
    <t>66d5c62a-1a36-5cd3-8284-d12b937c815a</t>
  </si>
  <si>
    <t>14.1.46.72</t>
  </si>
  <si>
    <t>UFB - Small Business Fibre 920</t>
  </si>
  <si>
    <t>ffet@circlenet.co.nz</t>
  </si>
  <si>
    <t>UFB - Small Business Fibre 920 - 1638228123 (Order: 105322520) (01/07/2026 - 31/07/2026)
Contract Term: 24 Month Term</t>
  </si>
  <si>
    <t>Western Engineering</t>
  </si>
  <si>
    <t>Western Engineering - 11 Patiki Road</t>
  </si>
  <si>
    <t>5824471f-6624-5f84-979b-43a54adc118f</t>
  </si>
  <si>
    <t>14.1.46.64</t>
  </si>
  <si>
    <t>western@circlenet.co.nz</t>
  </si>
  <si>
    <t>UFB - Small Business Fibre 920 - 1638300107 (Order: 105520616) (01/07/2026 - 31/07/2026)
Contract Term: 24 Month Term</t>
  </si>
  <si>
    <t>Darren Wong - 4 Ambedkar Way</t>
  </si>
  <si>
    <t>8b89f54b-3242-58f8-a127-8e84e15956a9</t>
  </si>
  <si>
    <t>14.1.46.65</t>
  </si>
  <si>
    <t>darren@circlenet.co.nz</t>
  </si>
  <si>
    <t>UFB - Home Fibre 920 - 1638396111 (Order: 105786570) (01/07/2026 - 31/07/2026)
Contract Term: 24 Month Term</t>
  </si>
  <si>
    <t>Ryan Ouston</t>
  </si>
  <si>
    <t>Ryan Ouston - 5 Kaihuia Lane</t>
  </si>
  <si>
    <t>2340321d-4004-5511-88c5-8f18fe7ef263</t>
  </si>
  <si>
    <t>14.1.46.79</t>
  </si>
  <si>
    <t>cryry@circlenet.co.nz</t>
  </si>
  <si>
    <t>UFB - Small Business Fibre 920 - 1638453738 (Order: 109171633) (01/07/2026 - 31/07/2026)
Contract Term: 24 Month Term</t>
  </si>
  <si>
    <t>Mag and Turbo Pukekohe</t>
  </si>
  <si>
    <t>M&amp;T Pukekohe - 123 Manukau Road</t>
  </si>
  <si>
    <t>71f0f5c3-2f88-55da-99fc-86f629544dbb</t>
  </si>
  <si>
    <t>14.1.46.81</t>
  </si>
  <si>
    <t>mag_pukekohe@circlenet.co.nz</t>
  </si>
  <si>
    <t>UFB - Small Business Fibre 500 - 1638724911 (Order: 106657214) (01/07/2026 - 31/07/2026)
Contract Term: Casual</t>
  </si>
  <si>
    <t>Puffing Kiwi - 216 Great South Road</t>
  </si>
  <si>
    <t>6a34249c-e3f1-5666-bf75-08291dae25cc</t>
  </si>
  <si>
    <t>202.74.200.37</t>
  </si>
  <si>
    <t>12 months</t>
  </si>
  <si>
    <t>NO LOGIN</t>
  </si>
  <si>
    <t>Static IP - 1638724911 - 202.74.200.37 (01/07/2026 - 31/07/2026)</t>
  </si>
  <si>
    <t>Unlimited Data</t>
  </si>
  <si>
    <t>Fixed Wireless</t>
  </si>
  <si>
    <t>Static IP</t>
  </si>
  <si>
    <t>UFB - Small Business Fibre 500 - 1638752055 (Order: 106720907) (01/07/2026 - 31/07/2026)
Contract Term: Casual</t>
  </si>
  <si>
    <t>Catch of the Day</t>
  </si>
  <si>
    <t>Puffing Kiwi - 274 Penrose Road</t>
  </si>
  <si>
    <t>61ac1f4e-e489-5ff2-bca2-9343c56847f1</t>
  </si>
  <si>
    <t>202.74.200.39</t>
  </si>
  <si>
    <t>Static IP - 1638752055 - 202.74.200.39 (01/07/2026 - 31/07/2026)</t>
  </si>
  <si>
    <t>UFB - Small Business Fibre 920 - 1638916950 (Order: 107036838) (01/07/2026 - 31/07/2026)
Contract Term: Casual</t>
  </si>
  <si>
    <t>Transbuild</t>
  </si>
  <si>
    <t>Transbuild - 250b Sutton Road</t>
  </si>
  <si>
    <t>a5774865-b403-5929-90e5-55ce745377c4</t>
  </si>
  <si>
    <t>14.1.46.84</t>
  </si>
  <si>
    <t>transbuild@circlenet.co.nz</t>
  </si>
  <si>
    <t>UFB - Small Business Fibre 920 - 1639095654 (Order: 107425848) (01/07/2026 - 31/07/2026)
Contract Term: Casual</t>
  </si>
  <si>
    <t>Catch of the Day - 76 Porana Road</t>
  </si>
  <si>
    <t>736c4fe4-1443-582b-a3df-b61686407d79</t>
  </si>
  <si>
    <t>202.74.202.84</t>
  </si>
  <si>
    <t>Static IP - 1639095654 - 202.74.202.84 (01/07/2026 - 31/07/2026)</t>
  </si>
  <si>
    <t>UFB - Small Business Fibre 920 - 1639204739 (Order: 107651384) (01/07/2026 - 31/07/2026)
Contract Term: Casual</t>
  </si>
  <si>
    <t>Mosaic FSI</t>
  </si>
  <si>
    <t>Mosaic - 131 Queen Street</t>
  </si>
  <si>
    <t>aab3f9ec-8bf6-543a-b5d6-654a25307f6d</t>
  </si>
  <si>
    <t>14.1.46.78</t>
  </si>
  <si>
    <t>mosaic@circlenet.co.nz</t>
  </si>
  <si>
    <t>UFB - Small Business Fibre 920 - 1639450980 (Order: 108247950) (01/07/2026 - 31/07/2026)
Contract Term: Casual</t>
  </si>
  <si>
    <t>Asphaltech</t>
  </si>
  <si>
    <t>Asphaltech - 30A Parkway Drive</t>
  </si>
  <si>
    <t>d72ec97e-2d25-5490-ba3c-b889f6cdd9b5</t>
  </si>
  <si>
    <t>14.1.46.86</t>
  </si>
  <si>
    <t>asphaltech@circlenet.co.nz</t>
  </si>
  <si>
    <t>UFB - Small Business Fibre 500 - 1639613220 (Order: 108664632) (01/07/2026 - 31/07/2026)
Contract Term: Casual</t>
  </si>
  <si>
    <t>Mapfc - 19A Preston Avenue</t>
  </si>
  <si>
    <t>8b2f5375-e11c-55ba-ab96-65cbef28fea9</t>
  </si>
  <si>
    <t>UFB - Small Business Fibre 920 - 1639698438 (Order: 108893147) (01/07/2026 - 31/07/2026)
Contract Term: 24 Month Term</t>
  </si>
  <si>
    <t>Nauru Program Office NZ</t>
  </si>
  <si>
    <t>Nauru - LVL 15, 191 Queen Street</t>
  </si>
  <si>
    <t>6ebc07c1-1eb2-50d0-aff8-5d713e586d57</t>
  </si>
  <si>
    <t>14.1.46.87</t>
  </si>
  <si>
    <t>nauru@circlenet.co.nz</t>
  </si>
  <si>
    <t>UFB - Small Business Fibre 920 - 1639736674 (Order: 108996305) (01/07/2026 - 31/07/2026)
Contract Term: Casual</t>
  </si>
  <si>
    <t>Quinn Law</t>
  </si>
  <si>
    <t>Quinn Law - 78 Coates Avenue</t>
  </si>
  <si>
    <t>9b4afeaa-0590-5575-9845-c4b88dcbb19d</t>
  </si>
  <si>
    <t>14.1.46.70</t>
  </si>
  <si>
    <t>quinnlaw@circlenet.co.nz</t>
  </si>
  <si>
    <t>UFB - Small Business Fibre 920 - 1639902626 (Order: 109511445) (01/07/2026 - 31/07/2026)
Contract Term: Casual</t>
  </si>
  <si>
    <t>Iosis Ltd</t>
  </si>
  <si>
    <t>Iosis - 112C Russel Road</t>
  </si>
  <si>
    <t>f2ace68a-804e-5e32-8273-48167dbe4af7</t>
  </si>
  <si>
    <t>202.74.204.68</t>
  </si>
  <si>
    <t>Static IP - 1639902626 - 202.74.204.68 (01/07/2026 - 31/07/2026)</t>
  </si>
  <si>
    <t>UFB - Small Business Fibre 920 - 1643157786 (Order: 110182714) (01/07/2026 - 31/07/2026)
Contract Term: Casual</t>
  </si>
  <si>
    <t>Alaska AKL - 4 Murdoch Road</t>
  </si>
  <si>
    <t>781fb416-131f-56fd-a907-3c47251507e1</t>
  </si>
  <si>
    <t>202.74.205.217</t>
  </si>
  <si>
    <t>Static IP - 1643157786 - 202.74.205.217 (01/07/2026 - 31/07/2026)</t>
  </si>
  <si>
    <t>UFB - Small Business Fibre 920 - 1643159145 (Order: 110186381) (01/07/2026 - 31/07/2026)
Contract Term: Casual</t>
  </si>
  <si>
    <t>Alaska WLG - 1/15 Glover Street</t>
  </si>
  <si>
    <t>45bced54-d53a-5901-a087-0dfa149935bd</t>
  </si>
  <si>
    <t>202.74.205.225</t>
  </si>
  <si>
    <t>Static IP - 1643159145 - 202.74.205.225 (01/07/2026 - 31/07/2026)</t>
  </si>
  <si>
    <t xml:space="preserve">VDSL Broadband - 1694062640 (OOT: 61472681) (01/07/2026 - 31/07/2026)
Data Allowance: Custom Data Plan
Contract Term: 24 Month Term
ASID: </t>
  </si>
  <si>
    <t>Broadband</t>
  </si>
  <si>
    <t>NZ Cucumbers</t>
  </si>
  <si>
    <t>NZ Cucumbers - 353 Harrisville Road</t>
  </si>
  <si>
    <t>f3423416-c02b-5e93-ba10-f281e7adc504</t>
  </si>
  <si>
    <t>14.1.46.74</t>
  </si>
  <si>
    <t>VDSL Broadband</t>
  </si>
  <si>
    <t>passionfresh@circlenet.co.nz</t>
  </si>
  <si>
    <t>Ben Winkelaar</t>
  </si>
  <si>
    <t>Australia Toll Free Number - 1800 464093 (01/07/2026 - 31/07/2026)</t>
  </si>
  <si>
    <t>International VoIP</t>
  </si>
  <si>
    <t>Australia Toll Free Number</t>
  </si>
  <si>
    <t>0000-00-00</t>
  </si>
  <si>
    <t>14.1.57.240</t>
  </si>
  <si>
    <t>Cross Connect - Data Vault Co-location 200/200 connection and Static IP 14.1.57.240/29  (01/07/2026 - 31/07/2026)</t>
  </si>
  <si>
    <t>Hosting and Colocation</t>
  </si>
  <si>
    <t>Misc</t>
  </si>
  <si>
    <t>Cross Connect</t>
  </si>
  <si>
    <t>ENVIBB02616560</t>
  </si>
  <si>
    <t>UFB - SME Fibre Max - ENVIBB02616560 (Order: 1236045) (01/07/2026 - 31/07/2026)
Contract Term: Casual</t>
  </si>
  <si>
    <t>Enable UFB</t>
  </si>
  <si>
    <t>Alaska CHCH - Unit 5/9 Sir Gil Simpson Dr</t>
  </si>
  <si>
    <t>5f3f5686-8f98-5d75-bd47-0bedb4f65e3a</t>
  </si>
  <si>
    <t>202.74.205.236</t>
  </si>
  <si>
    <t>UFB - SME Fibre Max</t>
  </si>
  <si>
    <t>Damain Brook</t>
  </si>
  <si>
    <t>ENVIBB02616560 - 202.74.205.236 (01/07/2026 - 31/07/2026)</t>
  </si>
  <si>
    <t>Static IP - ENVIBB02616560 - 202.74.205.236 (01/07/2026 - 31/07/2026)</t>
  </si>
  <si>
    <t>UFF000006981258</t>
  </si>
  <si>
    <t>UFB - SME Fibre Max - UFF000006981258 (Order: 25134680) (01/07/2026 - 31/07/2026)
Contract Term: Casual</t>
  </si>
  <si>
    <t>Ultrafast UFB</t>
  </si>
  <si>
    <t>Alaska TRG - 84 First Avenue</t>
  </si>
  <si>
    <t>065a90e1-d473-5b72-8271-5dc5f36cfec1</t>
  </si>
  <si>
    <t>202.74.205.226</t>
  </si>
  <si>
    <t>Liam Osborne</t>
  </si>
  <si>
    <t>UFF000006981258 - 202.74.205.226 (01/07/2026 - 31/07/2026)</t>
  </si>
  <si>
    <t>Static IP - UFF000006981258 - 202.74.205.226 (01/07/2026 - 31/07/2026)</t>
  </si>
  <si>
    <t>UFF000007273335</t>
  </si>
  <si>
    <t>UFB - SME Fibre 300 - UFF000007273335 (Order: 25758564) (01/07/2026 - 31/07/2026)
Contract Term: Casual</t>
  </si>
  <si>
    <t>Sports Orthopaedic Surgery Centre</t>
  </si>
  <si>
    <t>Sportsortho - 162 Powderham St</t>
  </si>
  <si>
    <t>a13f1bd8-6858-5cf0-aa43-7d1f36cb2dc6</t>
  </si>
  <si>
    <t>UFB - SME Fibre 300</t>
  </si>
  <si>
    <t>Ritwik Kejriwal</t>
  </si>
  <si>
    <t>secondary@circlenet.co.nz</t>
  </si>
  <si>
    <t>Legacy Network Static IP - Unlimited Data - apparelline-secondary@circlenet.co.nz (01/07/2026 - 31/07/2026)</t>
  </si>
  <si>
    <t>Legacy Network Static IP</t>
  </si>
  <si>
    <t>Legacy Network Static IP - Unlimited Data - asphaltech@circlenet.co.nz (01/07/2026 - 31/07/2026)</t>
  </si>
  <si>
    <t>bramley@circlenet.co.nz</t>
  </si>
  <si>
    <t>Legacy Network Static IP - Unlimited Data - circle-bramley@circlenet.co.nz (01/07/2026 - 31/07/2026)</t>
  </si>
  <si>
    <t>office@circlenet.co.nz</t>
  </si>
  <si>
    <t>Legacy Network Static IP - Unlimited Data - circle-office@circlenet.co.nz (01/07/2026 - 31/07/2026)</t>
  </si>
  <si>
    <t>Legacy Network Static IP - Unlimited Data - cryry@circlenet.co.nz (01/07/2026 - 31/07/2026)</t>
  </si>
  <si>
    <t>Legacy Network Static IP - Unlimited Data - darren@circlenet.co.nz (01/07/2026 - 31/07/2026)</t>
  </si>
  <si>
    <t>Legacy Network Static IP - Unlimited Data - ffet@circlenet.co.nz (01/07/2026 - 31/07/2026)</t>
  </si>
  <si>
    <t>Legacy Network Static IP - Unlimited Data - mag_pukekohe@circlenet.co.nz (01/07/2026 - 31/07/2026)</t>
  </si>
  <si>
    <t>Legacy Network Static IP - Unlimited Data - mosaic@circlenet.co.nz (01/07/2026 - 31/07/2026)</t>
  </si>
  <si>
    <t>Legacy Network Static IP - Unlimited Data - nauru@circlenet.co.nz (01/07/2026 - 31/07/2026)</t>
  </si>
  <si>
    <t>Legacy Network Static IP - Unlimited Data - passionfresh@circlenet.co.nz (01/07/2026 - 31/07/2026)</t>
  </si>
  <si>
    <t>Legacy Network Static IP - Unlimited Data - prodesigners@circlenet.co.nz (01/07/2026 - 31/07/2026)</t>
  </si>
  <si>
    <t>Legacy Network Static IP - Unlimited Data - quinnlaw@circlenet.co.nz (01/07/2026 - 31/07/2026)</t>
  </si>
  <si>
    <t>Legacy Network Static IP - Unlimited Data - transbuild@circlenet.co.nz (01/07/2026 - 31/07/2026)</t>
  </si>
  <si>
    <t>Legacy Network Static IP - Unlimited Data - western@circlenet.co.nz (01/07/2026 - 31/07/2026)</t>
  </si>
  <si>
    <t>Part Month Credit For ASID 1638057472 (29/06/2026 - 30/06/2026)</t>
  </si>
  <si>
    <t>One-Off Charges</t>
  </si>
  <si>
    <t>Apparelline</t>
  </si>
  <si>
    <t>Apparelline - 17 Rennie Drive</t>
  </si>
  <si>
    <t>3e20e293-1d5e-5dc4-866a-88c3c6dae0ec</t>
  </si>
  <si>
    <t>Part Month Circuit Charges</t>
  </si>
  <si>
    <t>National Calls (4 calls - 00:05:04)</t>
  </si>
  <si>
    <t>Calling</t>
  </si>
  <si>
    <t>Voice Calling</t>
  </si>
  <si>
    <t>Mobile Calls (11 calls - 00:15:26)</t>
  </si>
  <si>
    <t xml:space="preserve">  0508247253 - Other Base Plan Difference (2026-06-01 - 2026-06-30)</t>
  </si>
  <si>
    <t>Base Plan Difference Fees</t>
  </si>
  <si>
    <t>National Calls (3 calls - 00:03:00)</t>
  </si>
  <si>
    <t>Mobile Calls (4 calls - 00:04:00)</t>
  </si>
  <si>
    <t xml:space="preserve">  0800101510 - Other Base Plan Difference (2026-06-01 - 2026-06-30)</t>
  </si>
  <si>
    <t>National Calls (33 calls - 01:27:57)</t>
  </si>
  <si>
    <t>Mobile Calls (157 calls - 07:39:14)</t>
  </si>
  <si>
    <t>Australia Calls (1 calls - 00:02:57)</t>
  </si>
  <si>
    <t>0800151510</t>
  </si>
  <si>
    <t>8f34efbe-e380-50a0-a7fb-ab1f4681fd91</t>
  </si>
  <si>
    <t>National Calls (2 calls - 00:05:07)</t>
  </si>
  <si>
    <t>Mobile Calls (32 calls - 01:10:04)</t>
  </si>
  <si>
    <t xml:space="preserve">  0800151510 - Other Base Plan Difference (2026-06-01 - 2026-06-30)</t>
  </si>
  <si>
    <t>Alaska AKL - 4 Murdoch Road – Total</t>
  </si>
  <si>
    <t>Alaska WLG - 1/15 Glover Street – Total</t>
  </si>
  <si>
    <t>Apparelline – Total</t>
  </si>
  <si>
    <t>Asphaltech – Total</t>
  </si>
  <si>
    <t>Catch of the Day – Total</t>
  </si>
  <si>
    <t>Circle IT – Total</t>
  </si>
  <si>
    <t>Darren Wong – Total</t>
  </si>
  <si>
    <t>Iosis Ltd – Total</t>
  </si>
  <si>
    <t>Leukaemia Foundation – Total</t>
  </si>
  <si>
    <t>Mag and Turbo Pukekohe – Total</t>
  </si>
  <si>
    <t>Mapfc - 19A Preston Avenue – Total</t>
  </si>
  <si>
    <t>Mosaic FSI – Total</t>
  </si>
  <si>
    <t>NZ Cucumbers – Total</t>
  </si>
  <si>
    <t>Nauru Program Office NZ – Total</t>
  </si>
  <si>
    <t>Prodesigners – Total</t>
  </si>
  <si>
    <t>Puffing Kiwi - 216 Great South Road – Total</t>
  </si>
  <si>
    <t>Quinn Law – Total</t>
  </si>
  <si>
    <t>Rebecca Wong – Total</t>
  </si>
  <si>
    <t>Renegade Fitness – Total</t>
  </si>
  <si>
    <t>Ryan Ouston – Total</t>
  </si>
  <si>
    <t>Sports Orthopaedic Surgery Centre – Total</t>
  </si>
  <si>
    <t>Transbuild – Total</t>
  </si>
  <si>
    <t>Western Engineering – Total</t>
  </si>
  <si>
    <t>Supplier Invoice 141787 – Charges by Customer</t>
  </si>
  <si>
    <t>Billing period 01/07/2026 – 31/07/2026. Supplier cost is pulled from the invoice sheet by customer + service; enter your on-charge in column F.</t>
  </si>
  <si>
    <t>Service</t>
  </si>
  <si>
    <t>Invoice Lines</t>
  </si>
  <si>
    <t>Qty</t>
  </si>
  <si>
    <t>Supplier Cost ($)</t>
  </si>
  <si>
    <t>Margin ($)</t>
  </si>
  <si>
    <t>GRAND TOTAL</t>
  </si>
  <si>
    <t>Unknown</t>
  </si>
  <si>
    <t>Alaska CHCH - Unit 5/9 Sir Gil Simpson Dr – Total</t>
  </si>
  <si>
    <t>Alaska TRG - 84 First Avenue – Total</t>
  </si>
  <si>
    <t>Unknown – Total</t>
  </si>
  <si>
    <t>CIT charge to cus</t>
  </si>
  <si>
    <t>Other Meraki charges that we didn't update</t>
  </si>
  <si>
    <t>Why does she have a static as a home user?</t>
  </si>
  <si>
    <t>Lets get this cut</t>
  </si>
  <si>
    <t>Circle cant afford</t>
  </si>
  <si>
    <t>I will tell Ryan to find his own internet</t>
  </si>
  <si>
    <t>If we don’t knw who this is.  Lets 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</si>
</sst>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\(&quot;$&quot;#,##0.00\);&quot;-&quot;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  <xf numFmtId="0" fontId="16" fillId="0" borderId="0" xfId="0" applyFont="1"/>
    <xf numFmtId="0" fontId="20" fillId="33" borderId="0" xfId="0" applyFont="1" applyFill="1" applyAlignment="1">
      <alignment horizontal="center"/>
    </xf>
    <xf numFmtId="164" fontId="0" fillId="0" borderId="0" xfId="0" applyNumberFormat="1"/>
    <xf numFmtId="164" fontId="0" fillId="34" borderId="0" xfId="0" applyNumberFormat="1" applyFill="1"/>
    <xf numFmtId="0" fontId="16" fillId="35" borderId="0" xfId="0" applyFont="1" applyFill="1"/>
    <xf numFmtId="164" fontId="16" fillId="35" borderId="0" xfId="0" applyNumberFormat="1" applyFont="1" applyFill="1"/>
    <xf numFmtId="0" fontId="16" fillId="36" borderId="10" xfId="0" applyFont="1" applyFill="1" applyBorder="1"/>
    <xf numFmtId="164" fontId="16" fillId="36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C79E1D-A439-4B93-93B5-D8357700F75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bebf9d2-e282-41eb-bfc8-0aee86fc8dc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967B-650C-48D8-B14C-E7C9D44195C4}">
  <dimension ref="A1:AA70"/>
  <sheetViews>
    <sheetView workbookViewId="0">
      <selection activeCell="J37" sqref="J37"/>
    </sheetView>
  </sheetViews>
  <sheetFormatPr baseColWidth="10" defaultColWidth="8.83203125" defaultRowHeight="15" x14ac:dyDescent="0.2"/>
  <cols>
    <col min="2" max="2" width="12.6640625" customWidth="1"/>
    <col min="4" max="4" width="16.6640625" customWidth="1"/>
    <col min="5" max="5" width="34" customWidth="1"/>
    <col min="6" max="6" width="16.33203125" customWidth="1"/>
    <col min="7" max="7" width="17.83203125" customWidth="1"/>
    <col min="8" max="8" width="19" customWidth="1"/>
    <col min="9" max="9" width="26" customWidth="1"/>
    <col min="10" max="10" width="29.5" customWidth="1"/>
    <col min="11" max="11" width="29.1640625" customWidth="1"/>
    <col min="12" max="12" width="14.1640625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141787</v>
      </c>
      <c r="B2" s="1">
        <v>46203</v>
      </c>
      <c r="C2">
        <v>6458601</v>
      </c>
      <c r="D2">
        <v>64508247253</v>
      </c>
      <c r="E2" t="s">
        <v>27</v>
      </c>
      <c r="F2">
        <v>0</v>
      </c>
      <c r="G2">
        <v>470</v>
      </c>
      <c r="H2" t="s">
        <v>28</v>
      </c>
      <c r="I2" t="s">
        <v>29</v>
      </c>
      <c r="J2" t="s">
        <v>30</v>
      </c>
      <c r="K2">
        <v>700188</v>
      </c>
      <c r="L2" s="2" t="s">
        <v>31</v>
      </c>
      <c r="M2" t="s">
        <v>32</v>
      </c>
      <c r="P2">
        <v>8662</v>
      </c>
      <c r="Q2" t="s">
        <v>33</v>
      </c>
      <c r="S2" t="s">
        <v>34</v>
      </c>
      <c r="T2" t="s">
        <v>33</v>
      </c>
      <c r="U2">
        <v>1</v>
      </c>
      <c r="V2" s="1">
        <v>46204</v>
      </c>
      <c r="W2" s="1">
        <v>46234</v>
      </c>
      <c r="X2" s="1">
        <v>43089</v>
      </c>
      <c r="Z2" s="2" t="s">
        <v>31</v>
      </c>
      <c r="AA2" t="s">
        <v>30</v>
      </c>
    </row>
    <row r="3" spans="1:27" x14ac:dyDescent="0.2">
      <c r="A3">
        <v>141787</v>
      </c>
      <c r="B3" s="1">
        <v>46203</v>
      </c>
      <c r="C3">
        <v>6468327</v>
      </c>
      <c r="D3">
        <v>64800101510</v>
      </c>
      <c r="E3" t="s">
        <v>35</v>
      </c>
      <c r="F3">
        <v>0</v>
      </c>
      <c r="G3">
        <v>470</v>
      </c>
      <c r="H3" t="s">
        <v>28</v>
      </c>
      <c r="I3" t="s">
        <v>29</v>
      </c>
      <c r="J3" t="s">
        <v>36</v>
      </c>
      <c r="K3">
        <v>700188</v>
      </c>
      <c r="L3" s="2" t="s">
        <v>37</v>
      </c>
      <c r="M3" t="s">
        <v>38</v>
      </c>
      <c r="P3">
        <v>19140</v>
      </c>
      <c r="Q3" t="s">
        <v>33</v>
      </c>
      <c r="S3" t="s">
        <v>34</v>
      </c>
      <c r="T3" t="s">
        <v>33</v>
      </c>
      <c r="U3">
        <v>1</v>
      </c>
      <c r="V3" s="1">
        <v>46204</v>
      </c>
      <c r="W3" s="1">
        <v>46234</v>
      </c>
      <c r="X3" s="1">
        <v>44033</v>
      </c>
      <c r="Z3" s="2" t="s">
        <v>37</v>
      </c>
      <c r="AA3" t="s">
        <v>39</v>
      </c>
    </row>
    <row r="4" spans="1:27" x14ac:dyDescent="0.2">
      <c r="A4">
        <v>141787</v>
      </c>
      <c r="B4" s="1">
        <v>46203</v>
      </c>
      <c r="C4">
        <v>6468404</v>
      </c>
      <c r="D4">
        <v>64800151015</v>
      </c>
      <c r="E4" t="s">
        <v>40</v>
      </c>
      <c r="F4">
        <v>0</v>
      </c>
      <c r="G4">
        <v>470</v>
      </c>
      <c r="H4" t="s">
        <v>28</v>
      </c>
      <c r="I4" t="s">
        <v>29</v>
      </c>
      <c r="J4" t="s">
        <v>36</v>
      </c>
      <c r="K4">
        <v>700188</v>
      </c>
      <c r="L4" s="2" t="s">
        <v>41</v>
      </c>
      <c r="M4" t="s">
        <v>42</v>
      </c>
      <c r="P4">
        <v>19141</v>
      </c>
      <c r="Q4" t="s">
        <v>33</v>
      </c>
      <c r="S4" t="s">
        <v>34</v>
      </c>
      <c r="T4" t="s">
        <v>33</v>
      </c>
      <c r="U4">
        <v>1</v>
      </c>
      <c r="V4" s="1">
        <v>46204</v>
      </c>
      <c r="W4" s="1">
        <v>46234</v>
      </c>
      <c r="X4" s="1">
        <v>44033</v>
      </c>
      <c r="Z4" s="2" t="s">
        <v>41</v>
      </c>
      <c r="AA4" t="s">
        <v>39</v>
      </c>
    </row>
    <row r="5" spans="1:27" x14ac:dyDescent="0.2">
      <c r="A5">
        <v>141787</v>
      </c>
      <c r="B5" s="1">
        <v>46203</v>
      </c>
      <c r="C5">
        <v>6473475</v>
      </c>
      <c r="D5">
        <v>6492555213</v>
      </c>
      <c r="E5" t="s">
        <v>43</v>
      </c>
      <c r="F5">
        <v>6</v>
      </c>
      <c r="G5">
        <v>40</v>
      </c>
      <c r="H5" t="s">
        <v>28</v>
      </c>
      <c r="I5" t="s">
        <v>29</v>
      </c>
      <c r="J5" t="s">
        <v>160</v>
      </c>
      <c r="K5">
        <v>700188</v>
      </c>
      <c r="L5">
        <v>6492555213</v>
      </c>
      <c r="M5" t="s">
        <v>44</v>
      </c>
      <c r="P5">
        <v>16534</v>
      </c>
      <c r="Q5" t="s">
        <v>45</v>
      </c>
      <c r="S5" t="s">
        <v>46</v>
      </c>
      <c r="T5" t="s">
        <v>45</v>
      </c>
      <c r="U5">
        <v>1</v>
      </c>
      <c r="V5" s="1">
        <v>46204</v>
      </c>
      <c r="W5" s="1">
        <v>46234</v>
      </c>
      <c r="X5" s="1">
        <v>44195</v>
      </c>
      <c r="Z5">
        <v>6492555213</v>
      </c>
      <c r="AA5" t="s">
        <v>39</v>
      </c>
    </row>
    <row r="6" spans="1:27" x14ac:dyDescent="0.2">
      <c r="A6">
        <v>141787</v>
      </c>
      <c r="B6" s="1">
        <v>46203</v>
      </c>
      <c r="C6">
        <v>6473703</v>
      </c>
      <c r="D6">
        <v>6492679431</v>
      </c>
      <c r="E6" t="s">
        <v>47</v>
      </c>
      <c r="F6">
        <v>6</v>
      </c>
      <c r="G6">
        <v>40</v>
      </c>
      <c r="H6" t="s">
        <v>28</v>
      </c>
      <c r="I6" t="s">
        <v>29</v>
      </c>
      <c r="J6" t="s">
        <v>160</v>
      </c>
      <c r="K6">
        <v>700188</v>
      </c>
      <c r="L6">
        <v>6492679431</v>
      </c>
      <c r="M6" t="s">
        <v>48</v>
      </c>
      <c r="P6">
        <v>16533</v>
      </c>
      <c r="Q6" t="s">
        <v>45</v>
      </c>
      <c r="S6" t="s">
        <v>46</v>
      </c>
      <c r="T6" t="s">
        <v>45</v>
      </c>
      <c r="U6">
        <v>1</v>
      </c>
      <c r="V6" s="1">
        <v>46204</v>
      </c>
      <c r="W6" s="1">
        <v>46234</v>
      </c>
      <c r="X6" s="1">
        <v>44033</v>
      </c>
      <c r="Z6">
        <v>6492679431</v>
      </c>
      <c r="AA6" t="s">
        <v>39</v>
      </c>
    </row>
    <row r="7" spans="1:27" x14ac:dyDescent="0.2">
      <c r="A7">
        <v>141787</v>
      </c>
      <c r="B7" s="1">
        <v>46203</v>
      </c>
      <c r="C7">
        <v>6478034</v>
      </c>
      <c r="D7">
        <v>6495216507</v>
      </c>
      <c r="E7" t="s">
        <v>49</v>
      </c>
      <c r="F7">
        <v>6</v>
      </c>
      <c r="G7">
        <v>40</v>
      </c>
      <c r="H7" t="s">
        <v>28</v>
      </c>
      <c r="I7" t="s">
        <v>29</v>
      </c>
      <c r="J7" t="s">
        <v>154</v>
      </c>
      <c r="K7">
        <v>12345</v>
      </c>
      <c r="L7">
        <v>6495216507</v>
      </c>
      <c r="M7" t="s">
        <v>50</v>
      </c>
      <c r="P7">
        <v>52984</v>
      </c>
      <c r="Q7" t="s">
        <v>45</v>
      </c>
      <c r="S7" t="s">
        <v>46</v>
      </c>
      <c r="T7" t="s">
        <v>45</v>
      </c>
      <c r="U7">
        <v>1</v>
      </c>
      <c r="V7" s="1">
        <v>46204</v>
      </c>
      <c r="W7" s="1">
        <v>46234</v>
      </c>
      <c r="X7" s="1">
        <v>44295</v>
      </c>
      <c r="Z7">
        <v>6495216507</v>
      </c>
      <c r="AA7" t="s">
        <v>39</v>
      </c>
    </row>
    <row r="8" spans="1:27" x14ac:dyDescent="0.2">
      <c r="A8">
        <v>141787</v>
      </c>
      <c r="B8" s="1">
        <v>46203</v>
      </c>
      <c r="C8">
        <v>6479886</v>
      </c>
      <c r="D8">
        <v>6496383557</v>
      </c>
      <c r="E8" t="s">
        <v>51</v>
      </c>
      <c r="F8">
        <v>6</v>
      </c>
      <c r="G8">
        <v>40</v>
      </c>
      <c r="H8" t="s">
        <v>28</v>
      </c>
      <c r="I8" t="s">
        <v>29</v>
      </c>
      <c r="J8" t="s">
        <v>36</v>
      </c>
      <c r="K8">
        <v>700188</v>
      </c>
      <c r="L8">
        <v>6496383557</v>
      </c>
      <c r="M8" t="s">
        <v>52</v>
      </c>
      <c r="P8">
        <v>19023</v>
      </c>
      <c r="Q8" t="s">
        <v>45</v>
      </c>
      <c r="S8" t="s">
        <v>46</v>
      </c>
      <c r="T8" t="s">
        <v>45</v>
      </c>
      <c r="U8">
        <v>1</v>
      </c>
      <c r="V8" s="1">
        <v>46204</v>
      </c>
      <c r="W8" s="1">
        <v>46234</v>
      </c>
      <c r="X8" s="1">
        <v>44033</v>
      </c>
      <c r="Z8">
        <v>6496383557</v>
      </c>
      <c r="AA8" t="s">
        <v>39</v>
      </c>
    </row>
    <row r="9" spans="1:27" ht="64" x14ac:dyDescent="0.2">
      <c r="A9">
        <v>141787</v>
      </c>
      <c r="B9" s="1">
        <v>46203</v>
      </c>
      <c r="C9">
        <v>6486366</v>
      </c>
      <c r="D9">
        <v>1636501970</v>
      </c>
      <c r="E9" s="3" t="s">
        <v>53</v>
      </c>
      <c r="F9">
        <v>87</v>
      </c>
      <c r="G9">
        <v>397</v>
      </c>
      <c r="H9" t="s">
        <v>54</v>
      </c>
      <c r="I9" t="s">
        <v>15</v>
      </c>
      <c r="J9" t="s">
        <v>30</v>
      </c>
      <c r="K9" t="s">
        <v>55</v>
      </c>
      <c r="L9">
        <v>1636501970</v>
      </c>
      <c r="M9" t="s">
        <v>56</v>
      </c>
      <c r="N9" t="s">
        <v>57</v>
      </c>
      <c r="O9">
        <v>1636501970</v>
      </c>
      <c r="P9">
        <v>2000942227</v>
      </c>
      <c r="Q9" t="s">
        <v>58</v>
      </c>
      <c r="R9" t="s">
        <v>59</v>
      </c>
      <c r="T9" t="s">
        <v>58</v>
      </c>
      <c r="U9">
        <v>1</v>
      </c>
      <c r="V9" s="1">
        <v>46204</v>
      </c>
      <c r="W9" s="1">
        <v>46234</v>
      </c>
      <c r="X9" s="1">
        <v>45033</v>
      </c>
      <c r="Z9" t="s">
        <v>60</v>
      </c>
      <c r="AA9" t="s">
        <v>30</v>
      </c>
    </row>
    <row r="10" spans="1:27" ht="64" x14ac:dyDescent="0.2">
      <c r="A10">
        <v>141787</v>
      </c>
      <c r="B10" s="1">
        <v>46203</v>
      </c>
      <c r="C10">
        <v>6486394</v>
      </c>
      <c r="D10">
        <v>1636548917</v>
      </c>
      <c r="E10" s="3" t="s">
        <v>61</v>
      </c>
      <c r="F10">
        <v>95</v>
      </c>
      <c r="G10">
        <v>243</v>
      </c>
      <c r="H10" t="s">
        <v>54</v>
      </c>
      <c r="I10" t="s">
        <v>15</v>
      </c>
      <c r="J10" t="s">
        <v>62</v>
      </c>
      <c r="K10" t="s">
        <v>63</v>
      </c>
      <c r="L10">
        <v>1636548917</v>
      </c>
      <c r="M10" t="s">
        <v>64</v>
      </c>
      <c r="N10" t="s">
        <v>65</v>
      </c>
      <c r="O10">
        <v>1636548917</v>
      </c>
      <c r="P10">
        <v>87606</v>
      </c>
      <c r="Q10" t="s">
        <v>66</v>
      </c>
      <c r="R10" t="s">
        <v>67</v>
      </c>
      <c r="T10" t="s">
        <v>66</v>
      </c>
      <c r="U10">
        <v>1</v>
      </c>
      <c r="V10" s="1">
        <v>46204</v>
      </c>
      <c r="W10" s="1">
        <v>46234</v>
      </c>
      <c r="X10" s="1">
        <v>43116</v>
      </c>
      <c r="Z10" t="s">
        <v>68</v>
      </c>
      <c r="AA10" t="s">
        <v>62</v>
      </c>
    </row>
    <row r="11" spans="1:27" ht="64" x14ac:dyDescent="0.2">
      <c r="A11">
        <v>141787</v>
      </c>
      <c r="B11" s="1">
        <v>46203</v>
      </c>
      <c r="C11">
        <v>6486971</v>
      </c>
      <c r="D11">
        <v>1637725796</v>
      </c>
      <c r="E11" s="3" t="s">
        <v>69</v>
      </c>
      <c r="F11">
        <v>87</v>
      </c>
      <c r="G11">
        <v>397</v>
      </c>
      <c r="H11" t="s">
        <v>54</v>
      </c>
      <c r="I11" t="s">
        <v>15</v>
      </c>
      <c r="J11" t="s">
        <v>70</v>
      </c>
      <c r="K11" t="s">
        <v>71</v>
      </c>
      <c r="L11">
        <v>1637725796</v>
      </c>
      <c r="M11" t="s">
        <v>72</v>
      </c>
      <c r="N11" t="s">
        <v>73</v>
      </c>
      <c r="O11">
        <v>1637725796</v>
      </c>
      <c r="P11">
        <v>2000942270</v>
      </c>
      <c r="Q11" t="s">
        <v>58</v>
      </c>
      <c r="R11" t="s">
        <v>59</v>
      </c>
      <c r="T11" t="s">
        <v>58</v>
      </c>
      <c r="U11">
        <v>1</v>
      </c>
      <c r="V11" s="1">
        <v>46204</v>
      </c>
      <c r="W11" s="1">
        <v>46234</v>
      </c>
      <c r="X11" s="1">
        <v>45033</v>
      </c>
      <c r="Z11" t="s">
        <v>74</v>
      </c>
      <c r="AA11" t="s">
        <v>70</v>
      </c>
    </row>
    <row r="12" spans="1:27" ht="64" x14ac:dyDescent="0.2">
      <c r="A12">
        <v>141787</v>
      </c>
      <c r="B12" s="1">
        <v>46203</v>
      </c>
      <c r="C12">
        <v>6487069</v>
      </c>
      <c r="D12">
        <v>1638076641</v>
      </c>
      <c r="E12" s="3" t="s">
        <v>75</v>
      </c>
      <c r="F12">
        <v>100</v>
      </c>
      <c r="G12">
        <v>396</v>
      </c>
      <c r="H12" t="s">
        <v>54</v>
      </c>
      <c r="I12" t="s">
        <v>15</v>
      </c>
      <c r="J12" t="s">
        <v>76</v>
      </c>
      <c r="K12" t="s">
        <v>77</v>
      </c>
      <c r="L12">
        <v>1638076641</v>
      </c>
      <c r="M12" t="s">
        <v>78</v>
      </c>
      <c r="N12" t="s">
        <v>79</v>
      </c>
      <c r="O12">
        <v>1638076641</v>
      </c>
      <c r="P12">
        <v>378007</v>
      </c>
      <c r="Q12" t="s">
        <v>80</v>
      </c>
      <c r="R12" t="s">
        <v>67</v>
      </c>
      <c r="T12" t="s">
        <v>80</v>
      </c>
      <c r="U12">
        <v>1</v>
      </c>
      <c r="V12" s="1">
        <v>46204</v>
      </c>
      <c r="W12" s="1">
        <v>46234</v>
      </c>
      <c r="X12" s="1">
        <v>44285</v>
      </c>
      <c r="Z12" t="s">
        <v>81</v>
      </c>
      <c r="AA12" t="s">
        <v>76</v>
      </c>
    </row>
    <row r="13" spans="1:27" ht="64" x14ac:dyDescent="0.2">
      <c r="A13">
        <v>141787</v>
      </c>
      <c r="B13" s="1">
        <v>46203</v>
      </c>
      <c r="C13">
        <v>6487187</v>
      </c>
      <c r="D13">
        <v>1638228123</v>
      </c>
      <c r="E13" s="3" t="s">
        <v>82</v>
      </c>
      <c r="F13">
        <v>100</v>
      </c>
      <c r="G13">
        <v>396</v>
      </c>
      <c r="H13" t="s">
        <v>54</v>
      </c>
      <c r="I13" t="s">
        <v>15</v>
      </c>
      <c r="J13" t="s">
        <v>83</v>
      </c>
      <c r="K13" t="s">
        <v>84</v>
      </c>
      <c r="L13">
        <v>1638228123</v>
      </c>
      <c r="M13" t="s">
        <v>85</v>
      </c>
      <c r="N13" t="s">
        <v>86</v>
      </c>
      <c r="O13">
        <v>1638228123</v>
      </c>
      <c r="P13">
        <v>2000490494</v>
      </c>
      <c r="Q13" t="s">
        <v>80</v>
      </c>
      <c r="R13" t="s">
        <v>67</v>
      </c>
      <c r="T13" t="s">
        <v>80</v>
      </c>
      <c r="U13">
        <v>1</v>
      </c>
      <c r="V13" s="1">
        <v>46204</v>
      </c>
      <c r="W13" s="1">
        <v>46234</v>
      </c>
      <c r="X13" s="1">
        <v>44398</v>
      </c>
      <c r="Z13" t="s">
        <v>87</v>
      </c>
      <c r="AA13" t="s">
        <v>83</v>
      </c>
    </row>
    <row r="14" spans="1:27" ht="64" x14ac:dyDescent="0.2">
      <c r="A14">
        <v>141787</v>
      </c>
      <c r="B14" s="1">
        <v>46203</v>
      </c>
      <c r="C14">
        <v>6487236</v>
      </c>
      <c r="D14">
        <v>1638300107</v>
      </c>
      <c r="E14" s="3" t="s">
        <v>88</v>
      </c>
      <c r="F14">
        <v>100</v>
      </c>
      <c r="G14">
        <v>396</v>
      </c>
      <c r="H14" t="s">
        <v>54</v>
      </c>
      <c r="I14" t="s">
        <v>15</v>
      </c>
      <c r="J14" t="s">
        <v>39</v>
      </c>
      <c r="K14" t="s">
        <v>89</v>
      </c>
      <c r="L14">
        <v>1638300107</v>
      </c>
      <c r="M14" t="s">
        <v>90</v>
      </c>
      <c r="N14" t="s">
        <v>91</v>
      </c>
      <c r="O14">
        <v>1638300107</v>
      </c>
      <c r="P14">
        <v>2000535808</v>
      </c>
      <c r="Q14" t="s">
        <v>80</v>
      </c>
      <c r="R14" t="s">
        <v>67</v>
      </c>
      <c r="T14" t="s">
        <v>80</v>
      </c>
      <c r="U14">
        <v>1</v>
      </c>
      <c r="V14" s="1">
        <v>46204</v>
      </c>
      <c r="W14" s="1">
        <v>46234</v>
      </c>
      <c r="X14" s="1">
        <v>44476</v>
      </c>
      <c r="Z14" t="s">
        <v>92</v>
      </c>
      <c r="AA14" t="s">
        <v>39</v>
      </c>
    </row>
    <row r="15" spans="1:27" ht="64" x14ac:dyDescent="0.2">
      <c r="A15">
        <v>141787</v>
      </c>
      <c r="B15" s="1">
        <v>46203</v>
      </c>
      <c r="C15">
        <v>6487316</v>
      </c>
      <c r="D15">
        <v>1638396111</v>
      </c>
      <c r="E15" s="3" t="s">
        <v>93</v>
      </c>
      <c r="F15">
        <v>95</v>
      </c>
      <c r="G15">
        <v>243</v>
      </c>
      <c r="H15" t="s">
        <v>54</v>
      </c>
      <c r="I15" t="s">
        <v>15</v>
      </c>
      <c r="J15" t="s">
        <v>94</v>
      </c>
      <c r="K15" t="s">
        <v>95</v>
      </c>
      <c r="L15">
        <v>1638396111</v>
      </c>
      <c r="M15" t="s">
        <v>96</v>
      </c>
      <c r="N15" t="s">
        <v>97</v>
      </c>
      <c r="O15">
        <v>1638396111</v>
      </c>
      <c r="P15">
        <v>2000589930</v>
      </c>
      <c r="Q15" t="s">
        <v>66</v>
      </c>
      <c r="R15" t="s">
        <v>67</v>
      </c>
      <c r="T15" t="s">
        <v>66</v>
      </c>
      <c r="U15">
        <v>1</v>
      </c>
      <c r="V15" s="1">
        <v>46204</v>
      </c>
      <c r="W15" s="1">
        <v>46234</v>
      </c>
      <c r="X15" s="1">
        <v>44568</v>
      </c>
      <c r="Z15" t="s">
        <v>98</v>
      </c>
      <c r="AA15" t="s">
        <v>94</v>
      </c>
    </row>
    <row r="16" spans="1:27" ht="64" x14ac:dyDescent="0.2">
      <c r="A16">
        <v>141787</v>
      </c>
      <c r="B16" s="1">
        <v>46203</v>
      </c>
      <c r="C16">
        <v>6487352</v>
      </c>
      <c r="D16">
        <v>1638453738</v>
      </c>
      <c r="E16" s="3" t="s">
        <v>99</v>
      </c>
      <c r="F16">
        <v>100</v>
      </c>
      <c r="G16">
        <v>396</v>
      </c>
      <c r="H16" t="s">
        <v>54</v>
      </c>
      <c r="I16" t="s">
        <v>15</v>
      </c>
      <c r="J16" t="s">
        <v>100</v>
      </c>
      <c r="K16" t="s">
        <v>101</v>
      </c>
      <c r="L16">
        <v>1638453738</v>
      </c>
      <c r="M16" t="s">
        <v>102</v>
      </c>
      <c r="N16" t="s">
        <v>103</v>
      </c>
      <c r="O16">
        <v>1638453738</v>
      </c>
      <c r="P16">
        <v>2000626936</v>
      </c>
      <c r="Q16" t="s">
        <v>80</v>
      </c>
      <c r="R16" t="s">
        <v>67</v>
      </c>
      <c r="T16" t="s">
        <v>80</v>
      </c>
      <c r="U16">
        <v>1</v>
      </c>
      <c r="V16" s="1">
        <v>46204</v>
      </c>
      <c r="W16" s="1">
        <v>46234</v>
      </c>
      <c r="X16" s="1">
        <v>44605</v>
      </c>
      <c r="Z16" t="s">
        <v>104</v>
      </c>
      <c r="AA16" t="s">
        <v>100</v>
      </c>
    </row>
    <row r="17" spans="1:27" ht="64" x14ac:dyDescent="0.2">
      <c r="A17">
        <v>141787</v>
      </c>
      <c r="B17" s="1">
        <v>46203</v>
      </c>
      <c r="C17">
        <v>6487612</v>
      </c>
      <c r="D17">
        <v>1638724911</v>
      </c>
      <c r="E17" s="3" t="s">
        <v>105</v>
      </c>
      <c r="F17">
        <v>87</v>
      </c>
      <c r="G17">
        <v>397</v>
      </c>
      <c r="H17" t="s">
        <v>54</v>
      </c>
      <c r="I17" t="s">
        <v>15</v>
      </c>
      <c r="J17" t="s">
        <v>106</v>
      </c>
      <c r="K17" t="s">
        <v>106</v>
      </c>
      <c r="L17">
        <v>1638724911</v>
      </c>
      <c r="M17" t="s">
        <v>107</v>
      </c>
      <c r="N17" t="s">
        <v>108</v>
      </c>
      <c r="O17">
        <v>1638724911</v>
      </c>
      <c r="P17">
        <v>2000801093</v>
      </c>
      <c r="Q17" t="s">
        <v>58</v>
      </c>
      <c r="R17" t="s">
        <v>109</v>
      </c>
      <c r="T17" t="s">
        <v>58</v>
      </c>
      <c r="U17">
        <v>1</v>
      </c>
      <c r="V17" s="1">
        <v>46204</v>
      </c>
      <c r="W17" s="1">
        <v>46234</v>
      </c>
      <c r="X17" s="1">
        <v>44845</v>
      </c>
      <c r="Z17" t="s">
        <v>110</v>
      </c>
      <c r="AA17" t="s">
        <v>106</v>
      </c>
    </row>
    <row r="18" spans="1:27" x14ac:dyDescent="0.2">
      <c r="A18">
        <v>141787</v>
      </c>
      <c r="B18" s="1">
        <v>46203</v>
      </c>
      <c r="C18">
        <v>6487613</v>
      </c>
      <c r="D18">
        <v>1638724911</v>
      </c>
      <c r="E18" t="s">
        <v>111</v>
      </c>
      <c r="F18">
        <v>5</v>
      </c>
      <c r="G18">
        <v>474</v>
      </c>
      <c r="H18" t="s">
        <v>112</v>
      </c>
      <c r="I18" t="s">
        <v>113</v>
      </c>
      <c r="J18" t="s">
        <v>106</v>
      </c>
      <c r="K18" t="s">
        <v>106</v>
      </c>
      <c r="L18">
        <v>1638724911</v>
      </c>
      <c r="M18" t="s">
        <v>107</v>
      </c>
      <c r="N18" t="s">
        <v>108</v>
      </c>
      <c r="O18">
        <v>1638724911</v>
      </c>
      <c r="P18">
        <v>2000801093</v>
      </c>
      <c r="Q18" t="s">
        <v>114</v>
      </c>
      <c r="R18" t="s">
        <v>109</v>
      </c>
      <c r="T18" t="s">
        <v>114</v>
      </c>
      <c r="U18">
        <v>1</v>
      </c>
      <c r="V18" s="1">
        <v>46204</v>
      </c>
      <c r="W18" s="1">
        <v>46234</v>
      </c>
      <c r="X18" s="1">
        <v>44845</v>
      </c>
      <c r="Z18" t="s">
        <v>110</v>
      </c>
      <c r="AA18" t="s">
        <v>106</v>
      </c>
    </row>
    <row r="19" spans="1:27" ht="64" x14ac:dyDescent="0.2">
      <c r="A19">
        <v>141787</v>
      </c>
      <c r="B19" s="1">
        <v>46203</v>
      </c>
      <c r="C19">
        <v>6487647</v>
      </c>
      <c r="D19">
        <v>1638752055</v>
      </c>
      <c r="E19" s="3" t="s">
        <v>115</v>
      </c>
      <c r="F19">
        <v>87</v>
      </c>
      <c r="G19">
        <v>397</v>
      </c>
      <c r="H19" t="s">
        <v>54</v>
      </c>
      <c r="I19" t="s">
        <v>15</v>
      </c>
      <c r="J19" t="s">
        <v>116</v>
      </c>
      <c r="K19" t="s">
        <v>117</v>
      </c>
      <c r="L19">
        <v>1638752055</v>
      </c>
      <c r="M19" t="s">
        <v>118</v>
      </c>
      <c r="N19" t="s">
        <v>119</v>
      </c>
      <c r="O19">
        <v>1638752055</v>
      </c>
      <c r="P19">
        <v>2000803067</v>
      </c>
      <c r="Q19" t="s">
        <v>58</v>
      </c>
      <c r="R19" t="s">
        <v>109</v>
      </c>
      <c r="T19" t="s">
        <v>58</v>
      </c>
      <c r="U19">
        <v>1</v>
      </c>
      <c r="V19" s="1">
        <v>46204</v>
      </c>
      <c r="W19" s="1">
        <v>46234</v>
      </c>
      <c r="X19" s="1">
        <v>44851</v>
      </c>
      <c r="Z19" t="s">
        <v>110</v>
      </c>
      <c r="AA19" t="s">
        <v>116</v>
      </c>
    </row>
    <row r="20" spans="1:27" x14ac:dyDescent="0.2">
      <c r="A20">
        <v>141787</v>
      </c>
      <c r="B20" s="1">
        <v>46203</v>
      </c>
      <c r="C20">
        <v>6487648</v>
      </c>
      <c r="D20">
        <v>1638752055</v>
      </c>
      <c r="E20" t="s">
        <v>120</v>
      </c>
      <c r="F20">
        <v>5</v>
      </c>
      <c r="G20">
        <v>474</v>
      </c>
      <c r="H20" t="s">
        <v>112</v>
      </c>
      <c r="I20" t="s">
        <v>113</v>
      </c>
      <c r="J20" t="s">
        <v>116</v>
      </c>
      <c r="K20" t="s">
        <v>117</v>
      </c>
      <c r="L20">
        <v>1638752055</v>
      </c>
      <c r="M20" t="s">
        <v>118</v>
      </c>
      <c r="N20" t="s">
        <v>119</v>
      </c>
      <c r="O20">
        <v>1638752055</v>
      </c>
      <c r="P20">
        <v>2000803067</v>
      </c>
      <c r="Q20" t="s">
        <v>114</v>
      </c>
      <c r="R20" t="s">
        <v>109</v>
      </c>
      <c r="T20" t="s">
        <v>114</v>
      </c>
      <c r="U20">
        <v>1</v>
      </c>
      <c r="V20" s="1">
        <v>46204</v>
      </c>
      <c r="W20" s="1">
        <v>46234</v>
      </c>
      <c r="X20" s="1">
        <v>44851</v>
      </c>
      <c r="Z20" t="s">
        <v>110</v>
      </c>
      <c r="AA20" t="s">
        <v>116</v>
      </c>
    </row>
    <row r="21" spans="1:27" ht="64" x14ac:dyDescent="0.2">
      <c r="A21">
        <v>141787</v>
      </c>
      <c r="B21" s="1">
        <v>46203</v>
      </c>
      <c r="C21">
        <v>6487906</v>
      </c>
      <c r="D21">
        <v>1638916950</v>
      </c>
      <c r="E21" s="3" t="s">
        <v>121</v>
      </c>
      <c r="F21">
        <v>100</v>
      </c>
      <c r="G21">
        <v>396</v>
      </c>
      <c r="H21" t="s">
        <v>54</v>
      </c>
      <c r="I21" t="s">
        <v>15</v>
      </c>
      <c r="J21" t="s">
        <v>122</v>
      </c>
      <c r="K21" t="s">
        <v>123</v>
      </c>
      <c r="L21">
        <v>1638916950</v>
      </c>
      <c r="M21" t="s">
        <v>124</v>
      </c>
      <c r="N21" t="s">
        <v>125</v>
      </c>
      <c r="O21">
        <v>1638916950</v>
      </c>
      <c r="P21">
        <v>2000892117</v>
      </c>
      <c r="Q21" t="s">
        <v>80</v>
      </c>
      <c r="R21" t="s">
        <v>109</v>
      </c>
      <c r="T21" t="s">
        <v>80</v>
      </c>
      <c r="U21">
        <v>1</v>
      </c>
      <c r="V21" s="1">
        <v>46204</v>
      </c>
      <c r="W21" s="1">
        <v>46234</v>
      </c>
      <c r="X21" s="1">
        <v>45021</v>
      </c>
      <c r="Z21" t="s">
        <v>126</v>
      </c>
      <c r="AA21" t="s">
        <v>122</v>
      </c>
    </row>
    <row r="22" spans="1:27" ht="64" x14ac:dyDescent="0.2">
      <c r="A22">
        <v>141787</v>
      </c>
      <c r="B22" s="1">
        <v>46203</v>
      </c>
      <c r="C22">
        <v>6488125</v>
      </c>
      <c r="D22">
        <v>1639095654</v>
      </c>
      <c r="E22" s="3" t="s">
        <v>127</v>
      </c>
      <c r="F22">
        <v>100</v>
      </c>
      <c r="G22">
        <v>396</v>
      </c>
      <c r="H22" t="s">
        <v>54</v>
      </c>
      <c r="I22" t="s">
        <v>15</v>
      </c>
      <c r="J22" t="s">
        <v>116</v>
      </c>
      <c r="K22" t="s">
        <v>128</v>
      </c>
      <c r="L22">
        <v>1639095654</v>
      </c>
      <c r="M22" t="s">
        <v>129</v>
      </c>
      <c r="N22" t="s">
        <v>130</v>
      </c>
      <c r="O22">
        <v>1639095654</v>
      </c>
      <c r="P22">
        <v>2000996156</v>
      </c>
      <c r="Q22" t="s">
        <v>80</v>
      </c>
      <c r="R22" t="s">
        <v>109</v>
      </c>
      <c r="T22" t="s">
        <v>80</v>
      </c>
      <c r="U22">
        <v>1</v>
      </c>
      <c r="V22" s="1">
        <v>46204</v>
      </c>
      <c r="W22" s="1">
        <v>46234</v>
      </c>
      <c r="X22" s="1">
        <v>45111</v>
      </c>
      <c r="Z22" t="s">
        <v>110</v>
      </c>
      <c r="AA22" t="s">
        <v>116</v>
      </c>
    </row>
    <row r="23" spans="1:27" x14ac:dyDescent="0.2">
      <c r="A23">
        <v>141787</v>
      </c>
      <c r="B23" s="1">
        <v>46203</v>
      </c>
      <c r="C23">
        <v>6488126</v>
      </c>
      <c r="D23">
        <v>1639095654</v>
      </c>
      <c r="E23" t="s">
        <v>131</v>
      </c>
      <c r="F23">
        <v>5</v>
      </c>
      <c r="G23">
        <v>474</v>
      </c>
      <c r="H23" t="s">
        <v>112</v>
      </c>
      <c r="I23" t="s">
        <v>113</v>
      </c>
      <c r="J23" t="s">
        <v>116</v>
      </c>
      <c r="K23" t="s">
        <v>128</v>
      </c>
      <c r="L23">
        <v>1639095654</v>
      </c>
      <c r="M23" t="s">
        <v>129</v>
      </c>
      <c r="N23" t="s">
        <v>130</v>
      </c>
      <c r="O23">
        <v>1639095654</v>
      </c>
      <c r="P23">
        <v>2000996156</v>
      </c>
      <c r="Q23" t="s">
        <v>114</v>
      </c>
      <c r="R23" t="s">
        <v>109</v>
      </c>
      <c r="T23" t="s">
        <v>114</v>
      </c>
      <c r="U23">
        <v>1</v>
      </c>
      <c r="V23" s="1">
        <v>46204</v>
      </c>
      <c r="W23" s="1">
        <v>46234</v>
      </c>
      <c r="X23" s="1">
        <v>45111</v>
      </c>
      <c r="Z23" t="s">
        <v>110</v>
      </c>
      <c r="AA23" t="s">
        <v>116</v>
      </c>
    </row>
    <row r="24" spans="1:27" ht="64" x14ac:dyDescent="0.2">
      <c r="A24">
        <v>141787</v>
      </c>
      <c r="B24" s="1">
        <v>46203</v>
      </c>
      <c r="C24">
        <v>6488296</v>
      </c>
      <c r="D24">
        <v>1639204739</v>
      </c>
      <c r="E24" s="3" t="s">
        <v>132</v>
      </c>
      <c r="F24">
        <v>100</v>
      </c>
      <c r="G24">
        <v>396</v>
      </c>
      <c r="H24" t="s">
        <v>54</v>
      </c>
      <c r="I24" t="s">
        <v>15</v>
      </c>
      <c r="J24" t="s">
        <v>133</v>
      </c>
      <c r="K24" t="s">
        <v>134</v>
      </c>
      <c r="L24">
        <v>1639204739</v>
      </c>
      <c r="M24" t="s">
        <v>135</v>
      </c>
      <c r="N24" t="s">
        <v>136</v>
      </c>
      <c r="O24">
        <v>1639204739</v>
      </c>
      <c r="P24">
        <v>2001037435</v>
      </c>
      <c r="Q24" t="s">
        <v>80</v>
      </c>
      <c r="R24" t="s">
        <v>59</v>
      </c>
      <c r="T24" t="s">
        <v>80</v>
      </c>
      <c r="U24">
        <v>1</v>
      </c>
      <c r="V24" s="1">
        <v>46204</v>
      </c>
      <c r="W24" s="1">
        <v>46234</v>
      </c>
      <c r="X24" s="1">
        <v>45174</v>
      </c>
      <c r="Z24" t="s">
        <v>137</v>
      </c>
      <c r="AA24" t="s">
        <v>133</v>
      </c>
    </row>
    <row r="25" spans="1:27" ht="64" x14ac:dyDescent="0.2">
      <c r="A25">
        <v>141787</v>
      </c>
      <c r="B25" s="1">
        <v>46203</v>
      </c>
      <c r="C25">
        <v>6488759</v>
      </c>
      <c r="D25">
        <v>1639450980</v>
      </c>
      <c r="E25" s="3" t="s">
        <v>138</v>
      </c>
      <c r="F25">
        <v>100</v>
      </c>
      <c r="G25">
        <v>396</v>
      </c>
      <c r="H25" t="s">
        <v>54</v>
      </c>
      <c r="I25" t="s">
        <v>15</v>
      </c>
      <c r="J25" t="s">
        <v>139</v>
      </c>
      <c r="K25" t="s">
        <v>140</v>
      </c>
      <c r="L25">
        <v>1639450980</v>
      </c>
      <c r="M25" t="s">
        <v>141</v>
      </c>
      <c r="N25" t="s">
        <v>142</v>
      </c>
      <c r="O25">
        <v>1639450980</v>
      </c>
      <c r="P25">
        <v>2001191499</v>
      </c>
      <c r="Q25" t="s">
        <v>80</v>
      </c>
      <c r="R25" t="s">
        <v>109</v>
      </c>
      <c r="T25" t="s">
        <v>80</v>
      </c>
      <c r="U25">
        <v>1</v>
      </c>
      <c r="V25" s="1">
        <v>46204</v>
      </c>
      <c r="W25" s="1">
        <v>46234</v>
      </c>
      <c r="X25" s="1">
        <v>45372</v>
      </c>
      <c r="Z25" t="s">
        <v>143</v>
      </c>
      <c r="AA25" t="s">
        <v>139</v>
      </c>
    </row>
    <row r="26" spans="1:27" ht="64" x14ac:dyDescent="0.2">
      <c r="A26">
        <v>141787</v>
      </c>
      <c r="B26" s="1">
        <v>46203</v>
      </c>
      <c r="C26">
        <v>6489120</v>
      </c>
      <c r="D26">
        <v>1639613220</v>
      </c>
      <c r="E26" s="3" t="s">
        <v>144</v>
      </c>
      <c r="F26">
        <v>87</v>
      </c>
      <c r="G26">
        <v>397</v>
      </c>
      <c r="H26" t="s">
        <v>54</v>
      </c>
      <c r="I26" t="s">
        <v>15</v>
      </c>
      <c r="J26" t="s">
        <v>145</v>
      </c>
      <c r="K26" t="s">
        <v>145</v>
      </c>
      <c r="L26">
        <v>1639613220</v>
      </c>
      <c r="M26" t="s">
        <v>146</v>
      </c>
      <c r="O26">
        <v>1639613220</v>
      </c>
      <c r="P26">
        <v>2001320778</v>
      </c>
      <c r="Q26" t="s">
        <v>58</v>
      </c>
      <c r="R26" t="s">
        <v>59</v>
      </c>
      <c r="T26" t="s">
        <v>58</v>
      </c>
      <c r="U26">
        <v>1</v>
      </c>
      <c r="V26" s="1">
        <v>46204</v>
      </c>
      <c r="W26" s="1">
        <v>46234</v>
      </c>
      <c r="X26" s="1">
        <v>45623</v>
      </c>
      <c r="Z26" t="s">
        <v>110</v>
      </c>
      <c r="AA26" t="s">
        <v>145</v>
      </c>
    </row>
    <row r="27" spans="1:27" ht="64" x14ac:dyDescent="0.2">
      <c r="A27">
        <v>141787</v>
      </c>
      <c r="B27" s="1">
        <v>46203</v>
      </c>
      <c r="C27">
        <v>6489398</v>
      </c>
      <c r="D27">
        <v>1639698438</v>
      </c>
      <c r="E27" s="3" t="s">
        <v>147</v>
      </c>
      <c r="F27">
        <v>100</v>
      </c>
      <c r="G27">
        <v>396</v>
      </c>
      <c r="H27" t="s">
        <v>54</v>
      </c>
      <c r="I27" t="s">
        <v>15</v>
      </c>
      <c r="J27" t="s">
        <v>148</v>
      </c>
      <c r="K27" t="s">
        <v>149</v>
      </c>
      <c r="L27">
        <v>1639698438</v>
      </c>
      <c r="M27" t="s">
        <v>150</v>
      </c>
      <c r="N27" t="s">
        <v>151</v>
      </c>
      <c r="O27">
        <v>1639698438</v>
      </c>
      <c r="P27">
        <v>2001406124</v>
      </c>
      <c r="Q27" t="s">
        <v>80</v>
      </c>
      <c r="R27" t="s">
        <v>67</v>
      </c>
      <c r="T27" t="s">
        <v>80</v>
      </c>
      <c r="U27">
        <v>1</v>
      </c>
      <c r="V27" s="1">
        <v>46204</v>
      </c>
      <c r="W27" s="1">
        <v>46234</v>
      </c>
      <c r="X27" s="1">
        <v>45590</v>
      </c>
      <c r="Z27" t="s">
        <v>152</v>
      </c>
      <c r="AA27" t="s">
        <v>148</v>
      </c>
    </row>
    <row r="28" spans="1:27" ht="64" x14ac:dyDescent="0.2">
      <c r="A28">
        <v>141787</v>
      </c>
      <c r="B28" s="1">
        <v>46203</v>
      </c>
      <c r="C28">
        <v>6489512</v>
      </c>
      <c r="D28">
        <v>1639736674</v>
      </c>
      <c r="E28" s="3" t="s">
        <v>153</v>
      </c>
      <c r="F28">
        <v>100</v>
      </c>
      <c r="G28">
        <v>396</v>
      </c>
      <c r="H28" t="s">
        <v>54</v>
      </c>
      <c r="I28" t="s">
        <v>15</v>
      </c>
      <c r="J28" t="s">
        <v>154</v>
      </c>
      <c r="K28" t="s">
        <v>155</v>
      </c>
      <c r="L28">
        <v>1639736674</v>
      </c>
      <c r="M28" t="s">
        <v>156</v>
      </c>
      <c r="N28" t="s">
        <v>157</v>
      </c>
      <c r="O28">
        <v>1639736674</v>
      </c>
      <c r="P28">
        <v>2001436297</v>
      </c>
      <c r="Q28" t="s">
        <v>80</v>
      </c>
      <c r="R28" t="s">
        <v>59</v>
      </c>
      <c r="T28" t="s">
        <v>80</v>
      </c>
      <c r="U28">
        <v>1</v>
      </c>
      <c r="V28" s="1">
        <v>46204</v>
      </c>
      <c r="W28" s="1">
        <v>46234</v>
      </c>
      <c r="X28" s="1">
        <v>45631</v>
      </c>
      <c r="Z28" t="s">
        <v>158</v>
      </c>
      <c r="AA28" t="s">
        <v>154</v>
      </c>
    </row>
    <row r="29" spans="1:27" ht="64" x14ac:dyDescent="0.2">
      <c r="A29">
        <v>141787</v>
      </c>
      <c r="B29" s="1">
        <v>46203</v>
      </c>
      <c r="C29">
        <v>6489991</v>
      </c>
      <c r="D29">
        <v>1639902626</v>
      </c>
      <c r="E29" s="3" t="s">
        <v>159</v>
      </c>
      <c r="F29">
        <v>100</v>
      </c>
      <c r="G29">
        <v>396</v>
      </c>
      <c r="H29" t="s">
        <v>54</v>
      </c>
      <c r="I29" t="s">
        <v>15</v>
      </c>
      <c r="J29" t="s">
        <v>160</v>
      </c>
      <c r="K29" t="s">
        <v>161</v>
      </c>
      <c r="L29">
        <v>1639902626</v>
      </c>
      <c r="M29" t="s">
        <v>162</v>
      </c>
      <c r="N29" t="s">
        <v>163</v>
      </c>
      <c r="O29">
        <v>1639902626</v>
      </c>
      <c r="P29">
        <v>2001592725</v>
      </c>
      <c r="Q29" t="s">
        <v>80</v>
      </c>
      <c r="R29" t="s">
        <v>109</v>
      </c>
      <c r="T29" t="s">
        <v>80</v>
      </c>
      <c r="U29">
        <v>1</v>
      </c>
      <c r="V29" s="1">
        <v>46204</v>
      </c>
      <c r="W29" s="1">
        <v>46234</v>
      </c>
      <c r="X29" s="1">
        <v>45785</v>
      </c>
      <c r="Z29" t="s">
        <v>110</v>
      </c>
      <c r="AA29" t="s">
        <v>160</v>
      </c>
    </row>
    <row r="30" spans="1:27" x14ac:dyDescent="0.2">
      <c r="A30">
        <v>141787</v>
      </c>
      <c r="B30" s="1">
        <v>46203</v>
      </c>
      <c r="C30">
        <v>6489992</v>
      </c>
      <c r="D30">
        <v>1639902626</v>
      </c>
      <c r="E30" t="s">
        <v>164</v>
      </c>
      <c r="F30">
        <v>5</v>
      </c>
      <c r="G30">
        <v>474</v>
      </c>
      <c r="H30" t="s">
        <v>112</v>
      </c>
      <c r="I30" t="s">
        <v>113</v>
      </c>
      <c r="J30" t="s">
        <v>160</v>
      </c>
      <c r="K30" t="s">
        <v>161</v>
      </c>
      <c r="L30">
        <v>1639902626</v>
      </c>
      <c r="M30" t="s">
        <v>162</v>
      </c>
      <c r="N30" t="s">
        <v>163</v>
      </c>
      <c r="O30">
        <v>1639902626</v>
      </c>
      <c r="P30">
        <v>2001592725</v>
      </c>
      <c r="Q30" t="s">
        <v>114</v>
      </c>
      <c r="R30" t="s">
        <v>109</v>
      </c>
      <c r="T30" t="s">
        <v>114</v>
      </c>
      <c r="U30">
        <v>1</v>
      </c>
      <c r="V30" s="1">
        <v>46204</v>
      </c>
      <c r="W30" s="1">
        <v>46234</v>
      </c>
      <c r="X30" s="1">
        <v>45785</v>
      </c>
      <c r="Z30" t="s">
        <v>110</v>
      </c>
      <c r="AA30" t="s">
        <v>160</v>
      </c>
    </row>
    <row r="31" spans="1:27" ht="64" x14ac:dyDescent="0.2">
      <c r="A31">
        <v>141787</v>
      </c>
      <c r="B31" s="1">
        <v>46203</v>
      </c>
      <c r="C31">
        <v>6490740</v>
      </c>
      <c r="D31">
        <v>1643157786</v>
      </c>
      <c r="E31" s="3" t="s">
        <v>165</v>
      </c>
      <c r="F31">
        <v>100</v>
      </c>
      <c r="G31">
        <v>396</v>
      </c>
      <c r="H31" t="s">
        <v>54</v>
      </c>
      <c r="I31" t="s">
        <v>15</v>
      </c>
      <c r="J31" t="s">
        <v>166</v>
      </c>
      <c r="K31" t="s">
        <v>166</v>
      </c>
      <c r="L31">
        <v>1643157786</v>
      </c>
      <c r="M31" t="s">
        <v>167</v>
      </c>
      <c r="N31" t="s">
        <v>168</v>
      </c>
      <c r="O31">
        <v>1643157786</v>
      </c>
      <c r="P31">
        <v>2001770135</v>
      </c>
      <c r="Q31" t="s">
        <v>80</v>
      </c>
      <c r="R31" t="s">
        <v>59</v>
      </c>
      <c r="T31" t="s">
        <v>80</v>
      </c>
      <c r="U31">
        <v>1</v>
      </c>
      <c r="V31" s="1">
        <v>46204</v>
      </c>
      <c r="W31" s="1">
        <v>46234</v>
      </c>
      <c r="X31" s="1">
        <v>45975</v>
      </c>
      <c r="Z31" t="s">
        <v>110</v>
      </c>
      <c r="AA31" t="s">
        <v>166</v>
      </c>
    </row>
    <row r="32" spans="1:27" x14ac:dyDescent="0.2">
      <c r="A32">
        <v>141787</v>
      </c>
      <c r="B32" s="1">
        <v>46203</v>
      </c>
      <c r="C32">
        <v>6490741</v>
      </c>
      <c r="D32">
        <v>1643157786</v>
      </c>
      <c r="E32" t="s">
        <v>169</v>
      </c>
      <c r="F32">
        <v>5</v>
      </c>
      <c r="G32">
        <v>474</v>
      </c>
      <c r="H32" t="s">
        <v>112</v>
      </c>
      <c r="I32" t="s">
        <v>113</v>
      </c>
      <c r="J32" t="s">
        <v>166</v>
      </c>
      <c r="K32" t="s">
        <v>166</v>
      </c>
      <c r="L32">
        <v>1643157786</v>
      </c>
      <c r="M32" t="s">
        <v>167</v>
      </c>
      <c r="N32" t="s">
        <v>168</v>
      </c>
      <c r="O32">
        <v>1643157786</v>
      </c>
      <c r="P32">
        <v>2001770135</v>
      </c>
      <c r="Q32" t="s">
        <v>114</v>
      </c>
      <c r="R32" t="s">
        <v>59</v>
      </c>
      <c r="T32" t="s">
        <v>114</v>
      </c>
      <c r="U32">
        <v>1</v>
      </c>
      <c r="V32" s="1">
        <v>46204</v>
      </c>
      <c r="W32" s="1">
        <v>46234</v>
      </c>
      <c r="X32" s="1">
        <v>45975</v>
      </c>
      <c r="Z32" t="s">
        <v>110</v>
      </c>
      <c r="AA32" t="s">
        <v>166</v>
      </c>
    </row>
    <row r="33" spans="1:27" ht="64" x14ac:dyDescent="0.2">
      <c r="A33">
        <v>141787</v>
      </c>
      <c r="B33" s="1">
        <v>46203</v>
      </c>
      <c r="C33">
        <v>6490744</v>
      </c>
      <c r="D33">
        <v>1643159145</v>
      </c>
      <c r="E33" s="3" t="s">
        <v>170</v>
      </c>
      <c r="F33">
        <v>100</v>
      </c>
      <c r="G33">
        <v>396</v>
      </c>
      <c r="H33" t="s">
        <v>54</v>
      </c>
      <c r="I33" t="s">
        <v>15</v>
      </c>
      <c r="J33" t="s">
        <v>171</v>
      </c>
      <c r="K33" t="s">
        <v>171</v>
      </c>
      <c r="L33">
        <v>1643159145</v>
      </c>
      <c r="M33" t="s">
        <v>172</v>
      </c>
      <c r="N33" t="s">
        <v>173</v>
      </c>
      <c r="O33">
        <v>1643159145</v>
      </c>
      <c r="P33">
        <v>2001771161</v>
      </c>
      <c r="Q33" t="s">
        <v>80</v>
      </c>
      <c r="R33" t="s">
        <v>59</v>
      </c>
      <c r="T33" t="s">
        <v>80</v>
      </c>
      <c r="U33">
        <v>1</v>
      </c>
      <c r="V33" s="1">
        <v>46204</v>
      </c>
      <c r="W33" s="1">
        <v>46234</v>
      </c>
      <c r="X33" s="1">
        <v>45978</v>
      </c>
      <c r="Z33" t="s">
        <v>110</v>
      </c>
      <c r="AA33" t="s">
        <v>171</v>
      </c>
    </row>
    <row r="34" spans="1:27" x14ac:dyDescent="0.2">
      <c r="A34">
        <v>141787</v>
      </c>
      <c r="B34" s="1">
        <v>46203</v>
      </c>
      <c r="C34">
        <v>6490745</v>
      </c>
      <c r="D34">
        <v>1643159145</v>
      </c>
      <c r="E34" t="s">
        <v>174</v>
      </c>
      <c r="F34">
        <v>5</v>
      </c>
      <c r="G34">
        <v>474</v>
      </c>
      <c r="H34" t="s">
        <v>112</v>
      </c>
      <c r="I34" t="s">
        <v>113</v>
      </c>
      <c r="J34" t="s">
        <v>171</v>
      </c>
      <c r="K34" t="s">
        <v>171</v>
      </c>
      <c r="L34">
        <v>1643159145</v>
      </c>
      <c r="M34" t="s">
        <v>172</v>
      </c>
      <c r="N34" t="s">
        <v>173</v>
      </c>
      <c r="O34">
        <v>1643159145</v>
      </c>
      <c r="P34">
        <v>2001771161</v>
      </c>
      <c r="Q34" t="s">
        <v>114</v>
      </c>
      <c r="R34" t="s">
        <v>59</v>
      </c>
      <c r="T34" t="s">
        <v>114</v>
      </c>
      <c r="U34">
        <v>1</v>
      </c>
      <c r="V34" s="1">
        <v>46204</v>
      </c>
      <c r="W34" s="1">
        <v>46234</v>
      </c>
      <c r="X34" s="1">
        <v>45978</v>
      </c>
      <c r="Z34" t="s">
        <v>110</v>
      </c>
      <c r="AA34" t="s">
        <v>171</v>
      </c>
    </row>
    <row r="35" spans="1:27" ht="80" x14ac:dyDescent="0.2">
      <c r="A35">
        <v>141787</v>
      </c>
      <c r="B35" s="1">
        <v>46203</v>
      </c>
      <c r="C35">
        <v>6491697</v>
      </c>
      <c r="D35">
        <v>1694062640</v>
      </c>
      <c r="E35" s="3" t="s">
        <v>175</v>
      </c>
      <c r="F35">
        <v>79.5</v>
      </c>
      <c r="G35">
        <v>124</v>
      </c>
      <c r="H35" t="s">
        <v>176</v>
      </c>
      <c r="I35" t="s">
        <v>15</v>
      </c>
      <c r="J35" t="s">
        <v>177</v>
      </c>
      <c r="K35" t="s">
        <v>178</v>
      </c>
      <c r="L35">
        <v>1694062640</v>
      </c>
      <c r="M35" t="s">
        <v>179</v>
      </c>
      <c r="N35" t="s">
        <v>180</v>
      </c>
      <c r="O35">
        <v>1694062640</v>
      </c>
      <c r="P35">
        <v>100845</v>
      </c>
      <c r="Q35" t="s">
        <v>181</v>
      </c>
      <c r="R35" t="s">
        <v>67</v>
      </c>
      <c r="T35" t="s">
        <v>181</v>
      </c>
      <c r="U35">
        <v>1</v>
      </c>
      <c r="V35" s="1">
        <v>46204</v>
      </c>
      <c r="W35" s="1">
        <v>46234</v>
      </c>
      <c r="X35" s="1">
        <v>43341</v>
      </c>
      <c r="Z35" t="s">
        <v>182</v>
      </c>
      <c r="AA35" t="s">
        <v>183</v>
      </c>
    </row>
    <row r="36" spans="1:27" x14ac:dyDescent="0.2">
      <c r="A36">
        <v>141787</v>
      </c>
      <c r="B36" s="1">
        <v>46203</v>
      </c>
      <c r="C36">
        <v>6491799</v>
      </c>
      <c r="D36">
        <v>611800464093</v>
      </c>
      <c r="E36" t="s">
        <v>184</v>
      </c>
      <c r="F36">
        <v>16</v>
      </c>
      <c r="G36">
        <v>471</v>
      </c>
      <c r="H36" t="s">
        <v>185</v>
      </c>
      <c r="I36" t="s">
        <v>29</v>
      </c>
      <c r="J36" t="s">
        <v>292</v>
      </c>
      <c r="L36">
        <v>611800464093</v>
      </c>
      <c r="P36">
        <v>0</v>
      </c>
      <c r="Q36" t="s">
        <v>186</v>
      </c>
      <c r="T36" t="s">
        <v>186</v>
      </c>
      <c r="U36">
        <v>1</v>
      </c>
      <c r="V36" s="1">
        <v>46204</v>
      </c>
      <c r="W36" s="1">
        <v>46234</v>
      </c>
      <c r="X36" t="s">
        <v>187</v>
      </c>
    </row>
    <row r="37" spans="1:27" x14ac:dyDescent="0.2">
      <c r="A37">
        <v>141787</v>
      </c>
      <c r="B37" s="1">
        <v>46203</v>
      </c>
      <c r="C37">
        <v>6497933</v>
      </c>
      <c r="D37" t="s">
        <v>188</v>
      </c>
      <c r="E37" t="s">
        <v>189</v>
      </c>
      <c r="F37">
        <v>171.2</v>
      </c>
      <c r="G37">
        <v>37</v>
      </c>
      <c r="H37" t="s">
        <v>190</v>
      </c>
      <c r="I37" t="s">
        <v>191</v>
      </c>
      <c r="J37" t="s">
        <v>292</v>
      </c>
      <c r="L37" t="s">
        <v>188</v>
      </c>
      <c r="P37">
        <v>0</v>
      </c>
      <c r="Q37" t="s">
        <v>192</v>
      </c>
      <c r="T37" t="s">
        <v>192</v>
      </c>
      <c r="U37">
        <v>1</v>
      </c>
      <c r="V37" s="1">
        <v>46204</v>
      </c>
      <c r="W37" s="1">
        <v>46234</v>
      </c>
      <c r="X37" t="s">
        <v>187</v>
      </c>
    </row>
    <row r="38" spans="1:27" ht="64" x14ac:dyDescent="0.2">
      <c r="A38">
        <v>141787</v>
      </c>
      <c r="B38" s="1">
        <v>46203</v>
      </c>
      <c r="C38">
        <v>6498554</v>
      </c>
      <c r="D38" t="s">
        <v>193</v>
      </c>
      <c r="E38" s="3" t="s">
        <v>194</v>
      </c>
      <c r="F38">
        <v>110.5</v>
      </c>
      <c r="G38">
        <v>366</v>
      </c>
      <c r="H38" t="s">
        <v>195</v>
      </c>
      <c r="I38" t="s">
        <v>15</v>
      </c>
      <c r="J38" t="s">
        <v>196</v>
      </c>
      <c r="K38" t="s">
        <v>196</v>
      </c>
      <c r="L38" t="s">
        <v>193</v>
      </c>
      <c r="M38" t="s">
        <v>197</v>
      </c>
      <c r="N38" t="s">
        <v>198</v>
      </c>
      <c r="O38" t="s">
        <v>193</v>
      </c>
      <c r="P38">
        <v>2001771563</v>
      </c>
      <c r="Q38" t="s">
        <v>199</v>
      </c>
      <c r="R38" t="s">
        <v>59</v>
      </c>
      <c r="T38" t="s">
        <v>199</v>
      </c>
      <c r="U38">
        <v>1</v>
      </c>
      <c r="V38" s="1">
        <v>46204</v>
      </c>
      <c r="W38" s="1">
        <v>46234</v>
      </c>
      <c r="X38" s="1">
        <v>45979</v>
      </c>
      <c r="Z38" t="s">
        <v>110</v>
      </c>
      <c r="AA38" t="s">
        <v>200</v>
      </c>
    </row>
    <row r="39" spans="1:27" x14ac:dyDescent="0.2">
      <c r="A39">
        <v>141787</v>
      </c>
      <c r="B39" s="1">
        <v>46203</v>
      </c>
      <c r="C39">
        <v>6498555</v>
      </c>
      <c r="D39" t="s">
        <v>201</v>
      </c>
      <c r="E39" t="s">
        <v>202</v>
      </c>
      <c r="F39">
        <v>5</v>
      </c>
      <c r="G39">
        <v>474</v>
      </c>
      <c r="H39" t="s">
        <v>112</v>
      </c>
      <c r="I39" t="s">
        <v>113</v>
      </c>
      <c r="J39" t="s">
        <v>196</v>
      </c>
      <c r="L39" t="s">
        <v>201</v>
      </c>
      <c r="P39">
        <v>0</v>
      </c>
      <c r="Q39" t="s">
        <v>114</v>
      </c>
      <c r="T39" t="s">
        <v>114</v>
      </c>
      <c r="U39">
        <v>1</v>
      </c>
      <c r="V39" s="1">
        <v>46204</v>
      </c>
      <c r="W39" s="1">
        <v>46234</v>
      </c>
      <c r="X39" t="s">
        <v>187</v>
      </c>
    </row>
    <row r="40" spans="1:27" ht="64" x14ac:dyDescent="0.2">
      <c r="A40">
        <v>141787</v>
      </c>
      <c r="B40" s="1">
        <v>46203</v>
      </c>
      <c r="C40">
        <v>6500702</v>
      </c>
      <c r="D40" t="s">
        <v>203</v>
      </c>
      <c r="E40" s="3" t="s">
        <v>204</v>
      </c>
      <c r="F40">
        <v>118.5</v>
      </c>
      <c r="G40">
        <v>324</v>
      </c>
      <c r="H40" t="s">
        <v>205</v>
      </c>
      <c r="I40" t="s">
        <v>15</v>
      </c>
      <c r="J40" t="s">
        <v>206</v>
      </c>
      <c r="K40" t="s">
        <v>206</v>
      </c>
      <c r="L40" t="s">
        <v>203</v>
      </c>
      <c r="M40" t="s">
        <v>207</v>
      </c>
      <c r="N40" t="s">
        <v>208</v>
      </c>
      <c r="O40" t="s">
        <v>203</v>
      </c>
      <c r="P40">
        <v>2001771183</v>
      </c>
      <c r="Q40" t="s">
        <v>199</v>
      </c>
      <c r="R40" t="s">
        <v>59</v>
      </c>
      <c r="T40" t="s">
        <v>199</v>
      </c>
      <c r="U40">
        <v>1</v>
      </c>
      <c r="V40" s="1">
        <v>46204</v>
      </c>
      <c r="W40" s="1">
        <v>46234</v>
      </c>
      <c r="X40" s="1">
        <v>45978</v>
      </c>
      <c r="Z40" t="s">
        <v>110</v>
      </c>
      <c r="AA40" t="s">
        <v>209</v>
      </c>
    </row>
    <row r="41" spans="1:27" x14ac:dyDescent="0.2">
      <c r="A41">
        <v>141787</v>
      </c>
      <c r="B41" s="1">
        <v>46203</v>
      </c>
      <c r="C41">
        <v>6500703</v>
      </c>
      <c r="D41" t="s">
        <v>210</v>
      </c>
      <c r="E41" t="s">
        <v>211</v>
      </c>
      <c r="F41">
        <v>5</v>
      </c>
      <c r="G41">
        <v>474</v>
      </c>
      <c r="H41" t="s">
        <v>112</v>
      </c>
      <c r="I41" t="s">
        <v>113</v>
      </c>
      <c r="J41" t="s">
        <v>206</v>
      </c>
      <c r="L41" t="s">
        <v>210</v>
      </c>
      <c r="P41">
        <v>0</v>
      </c>
      <c r="Q41" t="s">
        <v>114</v>
      </c>
      <c r="T41" t="s">
        <v>114</v>
      </c>
      <c r="U41">
        <v>1</v>
      </c>
      <c r="V41" s="1">
        <v>46204</v>
      </c>
      <c r="W41" s="1">
        <v>46234</v>
      </c>
      <c r="X41" t="s">
        <v>187</v>
      </c>
    </row>
    <row r="42" spans="1:27" ht="64" x14ac:dyDescent="0.2">
      <c r="A42">
        <v>141787</v>
      </c>
      <c r="B42" s="1">
        <v>46203</v>
      </c>
      <c r="C42">
        <v>6500813</v>
      </c>
      <c r="D42" t="s">
        <v>212</v>
      </c>
      <c r="E42" s="3" t="s">
        <v>213</v>
      </c>
      <c r="F42">
        <v>94.5</v>
      </c>
      <c r="G42">
        <v>184</v>
      </c>
      <c r="H42" t="s">
        <v>205</v>
      </c>
      <c r="I42" t="s">
        <v>15</v>
      </c>
      <c r="J42" t="s">
        <v>214</v>
      </c>
      <c r="K42" t="s">
        <v>215</v>
      </c>
      <c r="L42" t="s">
        <v>212</v>
      </c>
      <c r="M42" t="s">
        <v>216</v>
      </c>
      <c r="O42" t="s">
        <v>212</v>
      </c>
      <c r="P42">
        <v>2001908136</v>
      </c>
      <c r="Q42" t="s">
        <v>217</v>
      </c>
      <c r="R42" t="s">
        <v>59</v>
      </c>
      <c r="T42" t="s">
        <v>217</v>
      </c>
      <c r="U42">
        <v>1</v>
      </c>
      <c r="V42" s="1">
        <v>46204</v>
      </c>
      <c r="W42" s="1">
        <v>46234</v>
      </c>
      <c r="X42" s="1">
        <v>46125</v>
      </c>
      <c r="Z42" t="s">
        <v>110</v>
      </c>
      <c r="AA42" t="s">
        <v>218</v>
      </c>
    </row>
    <row r="43" spans="1:27" x14ac:dyDescent="0.2">
      <c r="A43">
        <v>141787</v>
      </c>
      <c r="B43" s="1">
        <v>46203</v>
      </c>
      <c r="C43">
        <v>6501155</v>
      </c>
      <c r="D43" t="s">
        <v>219</v>
      </c>
      <c r="E43" t="s">
        <v>220</v>
      </c>
      <c r="F43">
        <v>15</v>
      </c>
      <c r="G43">
        <v>149</v>
      </c>
      <c r="H43" t="s">
        <v>112</v>
      </c>
      <c r="I43" t="s">
        <v>15</v>
      </c>
      <c r="J43" t="s">
        <v>240</v>
      </c>
      <c r="L43" t="s">
        <v>219</v>
      </c>
      <c r="P43">
        <v>0</v>
      </c>
      <c r="Q43" t="s">
        <v>221</v>
      </c>
      <c r="T43" t="s">
        <v>221</v>
      </c>
      <c r="U43">
        <v>1</v>
      </c>
      <c r="V43" s="1">
        <v>46204</v>
      </c>
      <c r="W43" s="1">
        <v>46234</v>
      </c>
      <c r="X43" t="s">
        <v>187</v>
      </c>
    </row>
    <row r="44" spans="1:27" x14ac:dyDescent="0.2">
      <c r="A44">
        <v>141787</v>
      </c>
      <c r="B44" s="1">
        <v>46203</v>
      </c>
      <c r="C44">
        <v>6501167</v>
      </c>
      <c r="D44" t="s">
        <v>143</v>
      </c>
      <c r="E44" t="s">
        <v>222</v>
      </c>
      <c r="F44">
        <v>15</v>
      </c>
      <c r="G44">
        <v>149</v>
      </c>
      <c r="H44" t="s">
        <v>112</v>
      </c>
      <c r="I44" t="s">
        <v>15</v>
      </c>
      <c r="J44" t="s">
        <v>139</v>
      </c>
      <c r="L44" t="s">
        <v>143</v>
      </c>
      <c r="P44">
        <v>0</v>
      </c>
      <c r="Q44" t="s">
        <v>221</v>
      </c>
      <c r="T44" t="s">
        <v>221</v>
      </c>
      <c r="U44">
        <v>1</v>
      </c>
      <c r="V44" s="1">
        <v>46204</v>
      </c>
      <c r="W44" s="1">
        <v>46234</v>
      </c>
      <c r="X44" t="s">
        <v>187</v>
      </c>
    </row>
    <row r="45" spans="1:27" x14ac:dyDescent="0.2">
      <c r="A45">
        <v>141787</v>
      </c>
      <c r="B45" s="1">
        <v>46203</v>
      </c>
      <c r="C45">
        <v>6501327</v>
      </c>
      <c r="D45" t="s">
        <v>223</v>
      </c>
      <c r="E45" t="s">
        <v>224</v>
      </c>
      <c r="F45">
        <v>15</v>
      </c>
      <c r="G45">
        <v>149</v>
      </c>
      <c r="H45" t="s">
        <v>112</v>
      </c>
      <c r="I45" t="s">
        <v>15</v>
      </c>
      <c r="J45" t="s">
        <v>62</v>
      </c>
      <c r="L45" t="s">
        <v>223</v>
      </c>
      <c r="P45">
        <v>0</v>
      </c>
      <c r="Q45" t="s">
        <v>221</v>
      </c>
      <c r="T45" t="s">
        <v>221</v>
      </c>
      <c r="U45">
        <v>1</v>
      </c>
      <c r="V45" s="1">
        <v>46204</v>
      </c>
      <c r="W45" s="1">
        <v>46234</v>
      </c>
      <c r="X45" t="s">
        <v>187</v>
      </c>
    </row>
    <row r="46" spans="1:27" x14ac:dyDescent="0.2">
      <c r="A46">
        <v>141787</v>
      </c>
      <c r="B46" s="1">
        <v>46203</v>
      </c>
      <c r="C46">
        <v>6501328</v>
      </c>
      <c r="D46" t="s">
        <v>225</v>
      </c>
      <c r="E46" t="s">
        <v>226</v>
      </c>
      <c r="F46">
        <v>15</v>
      </c>
      <c r="G46">
        <v>149</v>
      </c>
      <c r="H46" t="s">
        <v>112</v>
      </c>
      <c r="I46" t="s">
        <v>15</v>
      </c>
      <c r="J46" t="s">
        <v>30</v>
      </c>
      <c r="L46" t="s">
        <v>225</v>
      </c>
      <c r="P46">
        <v>0</v>
      </c>
      <c r="Q46" t="s">
        <v>221</v>
      </c>
      <c r="T46" t="s">
        <v>221</v>
      </c>
      <c r="U46">
        <v>1</v>
      </c>
      <c r="V46" s="1">
        <v>46204</v>
      </c>
      <c r="W46" s="1">
        <v>46234</v>
      </c>
      <c r="X46" t="s">
        <v>187</v>
      </c>
    </row>
    <row r="47" spans="1:27" x14ac:dyDescent="0.2">
      <c r="A47">
        <v>141787</v>
      </c>
      <c r="B47" s="1">
        <v>46203</v>
      </c>
      <c r="C47">
        <v>6501362</v>
      </c>
      <c r="D47" t="s">
        <v>98</v>
      </c>
      <c r="E47" t="s">
        <v>227</v>
      </c>
      <c r="F47">
        <v>15</v>
      </c>
      <c r="G47">
        <v>149</v>
      </c>
      <c r="H47" t="s">
        <v>112</v>
      </c>
      <c r="I47" t="s">
        <v>15</v>
      </c>
      <c r="J47" t="s">
        <v>94</v>
      </c>
      <c r="L47" t="s">
        <v>98</v>
      </c>
      <c r="P47">
        <v>0</v>
      </c>
      <c r="Q47" t="s">
        <v>221</v>
      </c>
      <c r="T47" t="s">
        <v>221</v>
      </c>
      <c r="U47">
        <v>1</v>
      </c>
      <c r="V47" s="1">
        <v>46204</v>
      </c>
      <c r="W47" s="1">
        <v>46234</v>
      </c>
      <c r="X47" t="s">
        <v>187</v>
      </c>
    </row>
    <row r="48" spans="1:27" x14ac:dyDescent="0.2">
      <c r="A48">
        <v>141787</v>
      </c>
      <c r="B48" s="1">
        <v>46203</v>
      </c>
      <c r="C48">
        <v>6501375</v>
      </c>
      <c r="D48" t="s">
        <v>92</v>
      </c>
      <c r="E48" t="s">
        <v>228</v>
      </c>
      <c r="F48">
        <v>15</v>
      </c>
      <c r="G48">
        <v>149</v>
      </c>
      <c r="H48" t="s">
        <v>112</v>
      </c>
      <c r="I48" t="s">
        <v>15</v>
      </c>
      <c r="J48" t="s">
        <v>39</v>
      </c>
      <c r="L48" t="s">
        <v>92</v>
      </c>
      <c r="P48">
        <v>0</v>
      </c>
      <c r="Q48" t="s">
        <v>221</v>
      </c>
      <c r="T48" t="s">
        <v>221</v>
      </c>
      <c r="U48">
        <v>1</v>
      </c>
      <c r="V48" s="1">
        <v>46204</v>
      </c>
      <c r="W48" s="1">
        <v>46234</v>
      </c>
      <c r="X48" t="s">
        <v>187</v>
      </c>
    </row>
    <row r="49" spans="1:27" x14ac:dyDescent="0.2">
      <c r="A49">
        <v>141787</v>
      </c>
      <c r="B49" s="1">
        <v>46203</v>
      </c>
      <c r="C49">
        <v>6501439</v>
      </c>
      <c r="D49" t="s">
        <v>81</v>
      </c>
      <c r="E49" t="s">
        <v>229</v>
      </c>
      <c r="F49">
        <v>15</v>
      </c>
      <c r="G49">
        <v>149</v>
      </c>
      <c r="H49" t="s">
        <v>112</v>
      </c>
      <c r="I49" t="s">
        <v>15</v>
      </c>
      <c r="J49" t="s">
        <v>76</v>
      </c>
      <c r="L49" t="s">
        <v>81</v>
      </c>
      <c r="P49">
        <v>0</v>
      </c>
      <c r="Q49" t="s">
        <v>221</v>
      </c>
      <c r="T49" t="s">
        <v>221</v>
      </c>
      <c r="U49">
        <v>1</v>
      </c>
      <c r="V49" s="1">
        <v>46204</v>
      </c>
      <c r="W49" s="1">
        <v>46234</v>
      </c>
      <c r="X49" t="s">
        <v>187</v>
      </c>
    </row>
    <row r="50" spans="1:27" x14ac:dyDescent="0.2">
      <c r="A50">
        <v>141787</v>
      </c>
      <c r="B50" s="1">
        <v>46203</v>
      </c>
      <c r="C50">
        <v>6501674</v>
      </c>
      <c r="D50" t="s">
        <v>104</v>
      </c>
      <c r="E50" t="s">
        <v>230</v>
      </c>
      <c r="F50">
        <v>15</v>
      </c>
      <c r="G50">
        <v>149</v>
      </c>
      <c r="H50" t="s">
        <v>112</v>
      </c>
      <c r="I50" t="s">
        <v>15</v>
      </c>
      <c r="J50" t="s">
        <v>100</v>
      </c>
      <c r="L50" t="s">
        <v>104</v>
      </c>
      <c r="P50">
        <v>0</v>
      </c>
      <c r="Q50" t="s">
        <v>221</v>
      </c>
      <c r="T50" t="s">
        <v>221</v>
      </c>
      <c r="U50">
        <v>1</v>
      </c>
      <c r="V50" s="1">
        <v>46204</v>
      </c>
      <c r="W50" s="1">
        <v>46234</v>
      </c>
      <c r="X50" t="s">
        <v>187</v>
      </c>
    </row>
    <row r="51" spans="1:27" x14ac:dyDescent="0.2">
      <c r="A51">
        <v>141787</v>
      </c>
      <c r="B51" s="1">
        <v>46203</v>
      </c>
      <c r="C51">
        <v>6501740</v>
      </c>
      <c r="D51" t="s">
        <v>137</v>
      </c>
      <c r="E51" t="s">
        <v>231</v>
      </c>
      <c r="F51">
        <v>15</v>
      </c>
      <c r="G51">
        <v>149</v>
      </c>
      <c r="H51" t="s">
        <v>112</v>
      </c>
      <c r="I51" t="s">
        <v>15</v>
      </c>
      <c r="J51" t="s">
        <v>133</v>
      </c>
      <c r="L51" t="s">
        <v>137</v>
      </c>
      <c r="P51">
        <v>0</v>
      </c>
      <c r="Q51" t="s">
        <v>221</v>
      </c>
      <c r="T51" t="s">
        <v>221</v>
      </c>
      <c r="U51">
        <v>1</v>
      </c>
      <c r="V51" s="1">
        <v>46204</v>
      </c>
      <c r="W51" s="1">
        <v>46234</v>
      </c>
      <c r="X51" t="s">
        <v>187</v>
      </c>
    </row>
    <row r="52" spans="1:27" x14ac:dyDescent="0.2">
      <c r="A52">
        <v>141787</v>
      </c>
      <c r="B52" s="1">
        <v>46203</v>
      </c>
      <c r="C52">
        <v>6501807</v>
      </c>
      <c r="D52" t="s">
        <v>152</v>
      </c>
      <c r="E52" t="s">
        <v>232</v>
      </c>
      <c r="F52">
        <v>15</v>
      </c>
      <c r="G52">
        <v>149</v>
      </c>
      <c r="H52" t="s">
        <v>112</v>
      </c>
      <c r="I52" t="s">
        <v>15</v>
      </c>
      <c r="J52" t="s">
        <v>148</v>
      </c>
      <c r="L52" t="s">
        <v>152</v>
      </c>
      <c r="P52">
        <v>0</v>
      </c>
      <c r="Q52" t="s">
        <v>221</v>
      </c>
      <c r="T52" t="s">
        <v>221</v>
      </c>
      <c r="U52">
        <v>1</v>
      </c>
      <c r="V52" s="1">
        <v>46204</v>
      </c>
      <c r="W52" s="1">
        <v>46234</v>
      </c>
      <c r="X52" t="s">
        <v>187</v>
      </c>
    </row>
    <row r="53" spans="1:27" x14ac:dyDescent="0.2">
      <c r="A53">
        <v>141787</v>
      </c>
      <c r="B53" s="1">
        <v>46203</v>
      </c>
      <c r="C53">
        <v>6501914</v>
      </c>
      <c r="D53" t="s">
        <v>182</v>
      </c>
      <c r="E53" t="s">
        <v>233</v>
      </c>
      <c r="F53">
        <v>15</v>
      </c>
      <c r="G53">
        <v>149</v>
      </c>
      <c r="H53" t="s">
        <v>112</v>
      </c>
      <c r="I53" t="s">
        <v>15</v>
      </c>
      <c r="J53" t="s">
        <v>177</v>
      </c>
      <c r="L53" t="s">
        <v>182</v>
      </c>
      <c r="P53">
        <v>0</v>
      </c>
      <c r="Q53" t="s">
        <v>221</v>
      </c>
      <c r="T53" t="s">
        <v>221</v>
      </c>
      <c r="U53">
        <v>1</v>
      </c>
      <c r="V53" s="1">
        <v>46204</v>
      </c>
      <c r="W53" s="1">
        <v>46234</v>
      </c>
      <c r="X53" t="s">
        <v>187</v>
      </c>
    </row>
    <row r="54" spans="1:27" x14ac:dyDescent="0.2">
      <c r="A54">
        <v>141787</v>
      </c>
      <c r="B54" s="1">
        <v>46203</v>
      </c>
      <c r="C54">
        <v>6501961</v>
      </c>
      <c r="D54" t="s">
        <v>74</v>
      </c>
      <c r="E54" t="s">
        <v>234</v>
      </c>
      <c r="F54">
        <v>15</v>
      </c>
      <c r="G54">
        <v>149</v>
      </c>
      <c r="H54" t="s">
        <v>112</v>
      </c>
      <c r="I54" t="s">
        <v>15</v>
      </c>
      <c r="J54" t="s">
        <v>70</v>
      </c>
      <c r="L54" t="s">
        <v>74</v>
      </c>
      <c r="P54">
        <v>0</v>
      </c>
      <c r="Q54" t="s">
        <v>221</v>
      </c>
      <c r="T54" t="s">
        <v>221</v>
      </c>
      <c r="U54">
        <v>1</v>
      </c>
      <c r="V54" s="1">
        <v>46204</v>
      </c>
      <c r="W54" s="1">
        <v>46234</v>
      </c>
      <c r="X54" t="s">
        <v>187</v>
      </c>
    </row>
    <row r="55" spans="1:27" x14ac:dyDescent="0.2">
      <c r="A55">
        <v>141787</v>
      </c>
      <c r="B55" s="1">
        <v>46203</v>
      </c>
      <c r="C55">
        <v>6501974</v>
      </c>
      <c r="D55" t="s">
        <v>158</v>
      </c>
      <c r="E55" t="s">
        <v>235</v>
      </c>
      <c r="F55">
        <v>15</v>
      </c>
      <c r="G55">
        <v>149</v>
      </c>
      <c r="H55" t="s">
        <v>112</v>
      </c>
      <c r="I55" t="s">
        <v>15</v>
      </c>
      <c r="J55" t="s">
        <v>154</v>
      </c>
      <c r="L55" t="s">
        <v>158</v>
      </c>
      <c r="P55">
        <v>0</v>
      </c>
      <c r="Q55" t="s">
        <v>221</v>
      </c>
      <c r="T55" t="s">
        <v>221</v>
      </c>
      <c r="U55">
        <v>1</v>
      </c>
      <c r="V55" s="1">
        <v>46204</v>
      </c>
      <c r="W55" s="1">
        <v>46234</v>
      </c>
      <c r="X55" t="s">
        <v>187</v>
      </c>
    </row>
    <row r="56" spans="1:27" x14ac:dyDescent="0.2">
      <c r="A56">
        <v>141787</v>
      </c>
      <c r="B56" s="1">
        <v>46203</v>
      </c>
      <c r="C56">
        <v>6502168</v>
      </c>
      <c r="D56" t="s">
        <v>126</v>
      </c>
      <c r="E56" t="s">
        <v>236</v>
      </c>
      <c r="F56">
        <v>15</v>
      </c>
      <c r="G56">
        <v>149</v>
      </c>
      <c r="H56" t="s">
        <v>112</v>
      </c>
      <c r="I56" t="s">
        <v>15</v>
      </c>
      <c r="J56" t="s">
        <v>122</v>
      </c>
      <c r="L56" t="s">
        <v>126</v>
      </c>
      <c r="P56">
        <v>0</v>
      </c>
      <c r="Q56" t="s">
        <v>221</v>
      </c>
      <c r="T56" t="s">
        <v>221</v>
      </c>
      <c r="U56">
        <v>1</v>
      </c>
      <c r="V56" s="1">
        <v>46204</v>
      </c>
      <c r="W56" s="1">
        <v>46234</v>
      </c>
      <c r="X56" t="s">
        <v>187</v>
      </c>
    </row>
    <row r="57" spans="1:27" x14ac:dyDescent="0.2">
      <c r="A57">
        <v>141787</v>
      </c>
      <c r="B57" s="1">
        <v>46203</v>
      </c>
      <c r="C57">
        <v>6502250</v>
      </c>
      <c r="D57" t="s">
        <v>87</v>
      </c>
      <c r="E57" t="s">
        <v>237</v>
      </c>
      <c r="F57">
        <v>15</v>
      </c>
      <c r="G57">
        <v>149</v>
      </c>
      <c r="H57" t="s">
        <v>112</v>
      </c>
      <c r="I57" t="s">
        <v>15</v>
      </c>
      <c r="J57" t="s">
        <v>83</v>
      </c>
      <c r="L57" t="s">
        <v>87</v>
      </c>
      <c r="P57">
        <v>0</v>
      </c>
      <c r="Q57" t="s">
        <v>221</v>
      </c>
      <c r="T57" t="s">
        <v>221</v>
      </c>
      <c r="U57">
        <v>1</v>
      </c>
      <c r="V57" s="1">
        <v>46204</v>
      </c>
      <c r="W57" s="1">
        <v>46234</v>
      </c>
      <c r="X57" t="s">
        <v>187</v>
      </c>
    </row>
    <row r="58" spans="1:27" x14ac:dyDescent="0.2">
      <c r="A58">
        <v>141787</v>
      </c>
      <c r="B58" s="1">
        <v>46203</v>
      </c>
      <c r="C58">
        <v>6509226</v>
      </c>
      <c r="D58">
        <v>1638057472</v>
      </c>
      <c r="E58" t="s">
        <v>238</v>
      </c>
      <c r="F58">
        <v>-5.45</v>
      </c>
      <c r="G58">
        <v>260</v>
      </c>
      <c r="H58" t="s">
        <v>239</v>
      </c>
      <c r="I58" t="s">
        <v>15</v>
      </c>
      <c r="J58" t="s">
        <v>240</v>
      </c>
      <c r="K58" t="s">
        <v>241</v>
      </c>
      <c r="L58">
        <v>1638057472</v>
      </c>
      <c r="M58" t="s">
        <v>242</v>
      </c>
      <c r="O58">
        <v>1638057472</v>
      </c>
      <c r="P58">
        <v>2001976389</v>
      </c>
      <c r="Q58" t="s">
        <v>243</v>
      </c>
      <c r="R58" t="s">
        <v>67</v>
      </c>
      <c r="T58" t="s">
        <v>243</v>
      </c>
      <c r="U58">
        <v>1</v>
      </c>
      <c r="V58" s="1">
        <v>46202</v>
      </c>
      <c r="W58" s="1">
        <v>46203</v>
      </c>
      <c r="X58" s="1">
        <v>46202</v>
      </c>
      <c r="Z58" t="s">
        <v>110</v>
      </c>
      <c r="AA58" t="s">
        <v>240</v>
      </c>
    </row>
    <row r="59" spans="1:27" x14ac:dyDescent="0.2">
      <c r="A59">
        <v>141787</v>
      </c>
      <c r="B59" s="1">
        <v>46203</v>
      </c>
      <c r="C59">
        <v>6509227</v>
      </c>
      <c r="D59">
        <v>64508247253</v>
      </c>
      <c r="E59" t="s">
        <v>244</v>
      </c>
      <c r="F59">
        <v>0.27</v>
      </c>
      <c r="G59">
        <v>252</v>
      </c>
      <c r="H59" t="s">
        <v>245</v>
      </c>
      <c r="I59" t="s">
        <v>29</v>
      </c>
      <c r="J59" t="s">
        <v>30</v>
      </c>
      <c r="K59">
        <v>700188</v>
      </c>
      <c r="L59" s="2" t="s">
        <v>31</v>
      </c>
      <c r="M59" t="s">
        <v>32</v>
      </c>
      <c r="P59">
        <v>8662</v>
      </c>
      <c r="Q59" t="s">
        <v>246</v>
      </c>
      <c r="S59" t="s">
        <v>34</v>
      </c>
      <c r="T59" t="s">
        <v>246</v>
      </c>
      <c r="U59">
        <v>1</v>
      </c>
      <c r="V59" s="1">
        <v>46174</v>
      </c>
      <c r="W59" s="1">
        <v>46203</v>
      </c>
      <c r="X59" s="1">
        <v>43089</v>
      </c>
      <c r="Z59" s="2" t="s">
        <v>31</v>
      </c>
      <c r="AA59" t="s">
        <v>30</v>
      </c>
    </row>
    <row r="60" spans="1:27" x14ac:dyDescent="0.2">
      <c r="A60">
        <v>141787</v>
      </c>
      <c r="B60" s="1">
        <v>46203</v>
      </c>
      <c r="C60">
        <v>6509228</v>
      </c>
      <c r="D60">
        <v>64508247253</v>
      </c>
      <c r="E60" t="s">
        <v>247</v>
      </c>
      <c r="F60">
        <v>2.4700000000000002</v>
      </c>
      <c r="G60">
        <v>252</v>
      </c>
      <c r="H60" t="s">
        <v>245</v>
      </c>
      <c r="I60" t="s">
        <v>29</v>
      </c>
      <c r="J60" t="s">
        <v>30</v>
      </c>
      <c r="K60">
        <v>700188</v>
      </c>
      <c r="L60" s="2" t="s">
        <v>31</v>
      </c>
      <c r="M60" t="s">
        <v>32</v>
      </c>
      <c r="P60">
        <v>8662</v>
      </c>
      <c r="Q60" t="s">
        <v>246</v>
      </c>
      <c r="S60" t="s">
        <v>34</v>
      </c>
      <c r="T60" t="s">
        <v>246</v>
      </c>
      <c r="U60">
        <v>1</v>
      </c>
      <c r="V60" s="1">
        <v>46174</v>
      </c>
      <c r="W60" s="1">
        <v>46203</v>
      </c>
      <c r="X60" s="1">
        <v>43089</v>
      </c>
      <c r="Z60" s="2" t="s">
        <v>31</v>
      </c>
      <c r="AA60" t="s">
        <v>30</v>
      </c>
    </row>
    <row r="61" spans="1:27" x14ac:dyDescent="0.2">
      <c r="A61">
        <v>141787</v>
      </c>
      <c r="B61" s="1">
        <v>46203</v>
      </c>
      <c r="C61">
        <v>6509229</v>
      </c>
      <c r="D61">
        <v>64508247253</v>
      </c>
      <c r="E61" t="s">
        <v>248</v>
      </c>
      <c r="F61">
        <v>21.98</v>
      </c>
      <c r="G61">
        <v>255</v>
      </c>
      <c r="H61" t="s">
        <v>28</v>
      </c>
      <c r="I61" t="s">
        <v>29</v>
      </c>
      <c r="J61" t="s">
        <v>30</v>
      </c>
      <c r="K61">
        <v>700188</v>
      </c>
      <c r="L61" s="2" t="s">
        <v>31</v>
      </c>
      <c r="M61" t="s">
        <v>32</v>
      </c>
      <c r="P61">
        <v>8662</v>
      </c>
      <c r="Q61" t="s">
        <v>249</v>
      </c>
      <c r="S61" t="s">
        <v>34</v>
      </c>
      <c r="T61" t="s">
        <v>249</v>
      </c>
      <c r="U61">
        <v>1</v>
      </c>
      <c r="V61" s="1">
        <v>46174</v>
      </c>
      <c r="W61" s="1">
        <v>46203</v>
      </c>
      <c r="X61" s="1">
        <v>43089</v>
      </c>
      <c r="Z61" s="2" t="s">
        <v>31</v>
      </c>
      <c r="AA61" t="s">
        <v>30</v>
      </c>
    </row>
    <row r="62" spans="1:27" x14ac:dyDescent="0.2">
      <c r="A62">
        <v>141787</v>
      </c>
      <c r="B62" s="1">
        <v>46203</v>
      </c>
      <c r="C62">
        <v>6509230</v>
      </c>
      <c r="D62">
        <v>64800101510</v>
      </c>
      <c r="E62" t="s">
        <v>250</v>
      </c>
      <c r="F62">
        <v>0.16</v>
      </c>
      <c r="G62">
        <v>252</v>
      </c>
      <c r="H62" t="s">
        <v>245</v>
      </c>
      <c r="I62" t="s">
        <v>29</v>
      </c>
      <c r="J62" t="s">
        <v>36</v>
      </c>
      <c r="K62">
        <v>700188</v>
      </c>
      <c r="L62" s="2" t="s">
        <v>37</v>
      </c>
      <c r="M62" t="s">
        <v>38</v>
      </c>
      <c r="P62">
        <v>19140</v>
      </c>
      <c r="Q62" t="s">
        <v>246</v>
      </c>
      <c r="S62" t="s">
        <v>34</v>
      </c>
      <c r="T62" t="s">
        <v>246</v>
      </c>
      <c r="U62">
        <v>1</v>
      </c>
      <c r="V62" s="1">
        <v>46174</v>
      </c>
      <c r="W62" s="1">
        <v>46203</v>
      </c>
      <c r="X62" s="1">
        <v>44033</v>
      </c>
      <c r="Z62" s="2" t="s">
        <v>37</v>
      </c>
      <c r="AA62" t="s">
        <v>39</v>
      </c>
    </row>
    <row r="63" spans="1:27" x14ac:dyDescent="0.2">
      <c r="A63">
        <v>141787</v>
      </c>
      <c r="B63" s="1">
        <v>46203</v>
      </c>
      <c r="C63">
        <v>6509231</v>
      </c>
      <c r="D63">
        <v>64800101510</v>
      </c>
      <c r="E63" t="s">
        <v>251</v>
      </c>
      <c r="F63">
        <v>0.64</v>
      </c>
      <c r="G63">
        <v>252</v>
      </c>
      <c r="H63" t="s">
        <v>245</v>
      </c>
      <c r="I63" t="s">
        <v>29</v>
      </c>
      <c r="J63" t="s">
        <v>36</v>
      </c>
      <c r="K63">
        <v>700188</v>
      </c>
      <c r="L63" s="2" t="s">
        <v>37</v>
      </c>
      <c r="M63" t="s">
        <v>38</v>
      </c>
      <c r="P63">
        <v>19140</v>
      </c>
      <c r="Q63" t="s">
        <v>246</v>
      </c>
      <c r="S63" t="s">
        <v>34</v>
      </c>
      <c r="T63" t="s">
        <v>246</v>
      </c>
      <c r="U63">
        <v>1</v>
      </c>
      <c r="V63" s="1">
        <v>46174</v>
      </c>
      <c r="W63" s="1">
        <v>46203</v>
      </c>
      <c r="X63" s="1">
        <v>44033</v>
      </c>
      <c r="Z63" s="2" t="s">
        <v>37</v>
      </c>
      <c r="AA63" t="s">
        <v>39</v>
      </c>
    </row>
    <row r="64" spans="1:27" x14ac:dyDescent="0.2">
      <c r="A64">
        <v>141787</v>
      </c>
      <c r="B64" s="1">
        <v>46203</v>
      </c>
      <c r="C64">
        <v>6509232</v>
      </c>
      <c r="D64">
        <v>64800101510</v>
      </c>
      <c r="E64" t="s">
        <v>252</v>
      </c>
      <c r="F64">
        <v>24.2</v>
      </c>
      <c r="G64">
        <v>255</v>
      </c>
      <c r="H64" t="s">
        <v>28</v>
      </c>
      <c r="I64" t="s">
        <v>29</v>
      </c>
      <c r="J64" t="s">
        <v>36</v>
      </c>
      <c r="K64">
        <v>700188</v>
      </c>
      <c r="L64" s="2" t="s">
        <v>37</v>
      </c>
      <c r="M64" t="s">
        <v>38</v>
      </c>
      <c r="P64">
        <v>19140</v>
      </c>
      <c r="Q64" t="s">
        <v>249</v>
      </c>
      <c r="S64" t="s">
        <v>34</v>
      </c>
      <c r="T64" t="s">
        <v>249</v>
      </c>
      <c r="U64">
        <v>1</v>
      </c>
      <c r="V64" s="1">
        <v>46174</v>
      </c>
      <c r="W64" s="1">
        <v>46203</v>
      </c>
      <c r="X64" s="1">
        <v>44033</v>
      </c>
      <c r="Z64" s="2" t="s">
        <v>37</v>
      </c>
      <c r="AA64" t="s">
        <v>39</v>
      </c>
    </row>
    <row r="65" spans="1:27" x14ac:dyDescent="0.2">
      <c r="A65">
        <v>141787</v>
      </c>
      <c r="B65" s="1">
        <v>46203</v>
      </c>
      <c r="C65">
        <v>6509233</v>
      </c>
      <c r="D65">
        <v>64800151015</v>
      </c>
      <c r="E65" t="s">
        <v>253</v>
      </c>
      <c r="F65">
        <v>4.75</v>
      </c>
      <c r="G65">
        <v>252</v>
      </c>
      <c r="H65" t="s">
        <v>245</v>
      </c>
      <c r="I65" t="s">
        <v>29</v>
      </c>
      <c r="J65" t="s">
        <v>36</v>
      </c>
      <c r="K65">
        <v>700188</v>
      </c>
      <c r="L65" s="2" t="s">
        <v>41</v>
      </c>
      <c r="M65" t="s">
        <v>42</v>
      </c>
      <c r="P65">
        <v>19141</v>
      </c>
      <c r="Q65" t="s">
        <v>246</v>
      </c>
      <c r="S65" t="s">
        <v>34</v>
      </c>
      <c r="T65" t="s">
        <v>246</v>
      </c>
      <c r="U65">
        <v>1</v>
      </c>
      <c r="V65" s="1">
        <v>46174</v>
      </c>
      <c r="W65" s="1">
        <v>46203</v>
      </c>
      <c r="X65" s="1">
        <v>44033</v>
      </c>
      <c r="Z65" s="2" t="s">
        <v>41</v>
      </c>
      <c r="AA65" t="s">
        <v>39</v>
      </c>
    </row>
    <row r="66" spans="1:27" x14ac:dyDescent="0.2">
      <c r="A66">
        <v>141787</v>
      </c>
      <c r="B66" s="1">
        <v>46203</v>
      </c>
      <c r="C66">
        <v>6509234</v>
      </c>
      <c r="D66">
        <v>64800151015</v>
      </c>
      <c r="E66" t="s">
        <v>254</v>
      </c>
      <c r="F66">
        <v>73.48</v>
      </c>
      <c r="G66">
        <v>252</v>
      </c>
      <c r="H66" t="s">
        <v>245</v>
      </c>
      <c r="I66" t="s">
        <v>29</v>
      </c>
      <c r="J66" t="s">
        <v>36</v>
      </c>
      <c r="K66">
        <v>700188</v>
      </c>
      <c r="L66" s="2" t="s">
        <v>41</v>
      </c>
      <c r="M66" t="s">
        <v>42</v>
      </c>
      <c r="P66">
        <v>19141</v>
      </c>
      <c r="Q66" t="s">
        <v>246</v>
      </c>
      <c r="S66" t="s">
        <v>34</v>
      </c>
      <c r="T66" t="s">
        <v>246</v>
      </c>
      <c r="U66">
        <v>1</v>
      </c>
      <c r="V66" s="1">
        <v>46174</v>
      </c>
      <c r="W66" s="1">
        <v>46203</v>
      </c>
      <c r="X66" s="1">
        <v>44033</v>
      </c>
      <c r="Z66" s="2" t="s">
        <v>41</v>
      </c>
      <c r="AA66" t="s">
        <v>39</v>
      </c>
    </row>
    <row r="67" spans="1:27" x14ac:dyDescent="0.2">
      <c r="A67">
        <v>141787</v>
      </c>
      <c r="B67" s="1">
        <v>46203</v>
      </c>
      <c r="C67">
        <v>6509235</v>
      </c>
      <c r="D67">
        <v>64800151510</v>
      </c>
      <c r="E67" t="s">
        <v>255</v>
      </c>
      <c r="F67">
        <v>0.94</v>
      </c>
      <c r="G67">
        <v>252</v>
      </c>
      <c r="H67" t="s">
        <v>245</v>
      </c>
      <c r="I67" t="s">
        <v>29</v>
      </c>
      <c r="J67" t="s">
        <v>36</v>
      </c>
      <c r="K67">
        <v>700188</v>
      </c>
      <c r="L67" s="2" t="s">
        <v>256</v>
      </c>
      <c r="M67" t="s">
        <v>257</v>
      </c>
      <c r="P67">
        <v>19027</v>
      </c>
      <c r="Q67" t="s">
        <v>246</v>
      </c>
      <c r="S67" t="s">
        <v>34</v>
      </c>
      <c r="T67" t="s">
        <v>246</v>
      </c>
      <c r="U67">
        <v>1</v>
      </c>
      <c r="V67" s="1">
        <v>46174</v>
      </c>
      <c r="W67" s="1">
        <v>46203</v>
      </c>
      <c r="X67" s="1">
        <v>44033</v>
      </c>
      <c r="Z67" s="2" t="s">
        <v>256</v>
      </c>
      <c r="AA67" t="s">
        <v>39</v>
      </c>
    </row>
    <row r="68" spans="1:27" x14ac:dyDescent="0.2">
      <c r="A68">
        <v>141787</v>
      </c>
      <c r="B68" s="1">
        <v>46203</v>
      </c>
      <c r="C68">
        <v>6509236</v>
      </c>
      <c r="D68">
        <v>64800151510</v>
      </c>
      <c r="E68" t="s">
        <v>258</v>
      </c>
      <c r="F68">
        <v>0.28000000000000003</v>
      </c>
      <c r="G68">
        <v>252</v>
      </c>
      <c r="H68" t="s">
        <v>245</v>
      </c>
      <c r="I68" t="s">
        <v>29</v>
      </c>
      <c r="J68" t="s">
        <v>36</v>
      </c>
      <c r="K68">
        <v>700188</v>
      </c>
      <c r="L68" s="2" t="s">
        <v>256</v>
      </c>
      <c r="M68" t="s">
        <v>257</v>
      </c>
      <c r="P68">
        <v>19027</v>
      </c>
      <c r="Q68" t="s">
        <v>246</v>
      </c>
      <c r="S68" t="s">
        <v>34</v>
      </c>
      <c r="T68" t="s">
        <v>246</v>
      </c>
      <c r="U68">
        <v>1</v>
      </c>
      <c r="V68" s="1">
        <v>46174</v>
      </c>
      <c r="W68" s="1">
        <v>46203</v>
      </c>
      <c r="X68" s="1">
        <v>44033</v>
      </c>
      <c r="Z68" s="2" t="s">
        <v>256</v>
      </c>
      <c r="AA68" t="s">
        <v>39</v>
      </c>
    </row>
    <row r="69" spans="1:27" x14ac:dyDescent="0.2">
      <c r="A69">
        <v>141787</v>
      </c>
      <c r="B69" s="1">
        <v>46203</v>
      </c>
      <c r="C69">
        <v>6509237</v>
      </c>
      <c r="D69">
        <v>64800151510</v>
      </c>
      <c r="E69" t="s">
        <v>259</v>
      </c>
      <c r="F69">
        <v>11.21</v>
      </c>
      <c r="G69">
        <v>252</v>
      </c>
      <c r="H69" t="s">
        <v>245</v>
      </c>
      <c r="I69" t="s">
        <v>29</v>
      </c>
      <c r="J69" t="s">
        <v>36</v>
      </c>
      <c r="K69">
        <v>700188</v>
      </c>
      <c r="L69" s="2" t="s">
        <v>256</v>
      </c>
      <c r="M69" t="s">
        <v>257</v>
      </c>
      <c r="P69">
        <v>19027</v>
      </c>
      <c r="Q69" t="s">
        <v>246</v>
      </c>
      <c r="S69" t="s">
        <v>34</v>
      </c>
      <c r="T69" t="s">
        <v>246</v>
      </c>
      <c r="U69">
        <v>1</v>
      </c>
      <c r="V69" s="1">
        <v>46174</v>
      </c>
      <c r="W69" s="1">
        <v>46203</v>
      </c>
      <c r="X69" s="1">
        <v>44033</v>
      </c>
      <c r="Z69" s="2" t="s">
        <v>256</v>
      </c>
      <c r="AA69" t="s">
        <v>39</v>
      </c>
    </row>
    <row r="70" spans="1:27" x14ac:dyDescent="0.2">
      <c r="A70">
        <v>141787</v>
      </c>
      <c r="B70" s="1">
        <v>46203</v>
      </c>
      <c r="C70">
        <v>6509238</v>
      </c>
      <c r="D70">
        <v>64800151510</v>
      </c>
      <c r="E70" t="s">
        <v>260</v>
      </c>
      <c r="F70">
        <v>12.57</v>
      </c>
      <c r="G70">
        <v>255</v>
      </c>
      <c r="H70" t="s">
        <v>28</v>
      </c>
      <c r="I70" t="s">
        <v>29</v>
      </c>
      <c r="J70" t="s">
        <v>36</v>
      </c>
      <c r="K70">
        <v>700188</v>
      </c>
      <c r="L70" s="2" t="s">
        <v>256</v>
      </c>
      <c r="M70" t="s">
        <v>257</v>
      </c>
      <c r="P70">
        <v>19027</v>
      </c>
      <c r="Q70" t="s">
        <v>249</v>
      </c>
      <c r="S70" t="s">
        <v>34</v>
      </c>
      <c r="T70" t="s">
        <v>249</v>
      </c>
      <c r="U70">
        <v>1</v>
      </c>
      <c r="V70" s="1">
        <v>46174</v>
      </c>
      <c r="W70" s="1">
        <v>46203</v>
      </c>
      <c r="X70" s="1">
        <v>44033</v>
      </c>
      <c r="Z70" s="2" t="s">
        <v>256</v>
      </c>
      <c r="AA7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4020-D77F-460A-91C0-4A60B0CDBB4D}">
  <dimension ref="A1:H117"/>
  <sheetViews>
    <sheetView tabSelected="1" zoomScale="120" zoomScaleNormal="120" workbookViewId="0">
      <pane ySplit="4" topLeftCell="A90" activePane="bottomLeft" state="frozen"/>
      <selection pane="bottomLeft" activeCell="H109" sqref="H109"/>
    </sheetView>
  </sheetViews>
  <sheetFormatPr baseColWidth="10" defaultColWidth="8.83203125" defaultRowHeight="15" x14ac:dyDescent="0.2"/>
  <cols>
    <col min="1" max="2" width="40" customWidth="1"/>
    <col min="3" max="3" width="15.33203125" customWidth="1"/>
    <col min="4" max="4" width="10.5" customWidth="1"/>
    <col min="5" max="7" width="22.83203125" customWidth="1"/>
  </cols>
  <sheetData>
    <row r="1" spans="1:7" ht="19" x14ac:dyDescent="0.25">
      <c r="A1" s="4" t="s">
        <v>284</v>
      </c>
      <c r="B1" s="6"/>
      <c r="C1" s="6"/>
      <c r="D1" s="6"/>
      <c r="E1" s="6"/>
      <c r="F1" s="6"/>
      <c r="G1" s="6"/>
    </row>
    <row r="2" spans="1:7" x14ac:dyDescent="0.2">
      <c r="A2" s="5" t="s">
        <v>285</v>
      </c>
    </row>
    <row r="4" spans="1:7" x14ac:dyDescent="0.2">
      <c r="A4" s="7" t="s">
        <v>9</v>
      </c>
      <c r="B4" s="7" t="s">
        <v>286</v>
      </c>
      <c r="C4" s="7" t="s">
        <v>287</v>
      </c>
      <c r="D4" s="7" t="s">
        <v>288</v>
      </c>
      <c r="E4" s="7" t="s">
        <v>289</v>
      </c>
      <c r="F4" s="7" t="s">
        <v>296</v>
      </c>
      <c r="G4" s="7" t="s">
        <v>290</v>
      </c>
    </row>
    <row r="5" spans="1:7" x14ac:dyDescent="0.2">
      <c r="A5" t="s">
        <v>166</v>
      </c>
      <c r="B5" t="s">
        <v>114</v>
      </c>
      <c r="C5">
        <v>1</v>
      </c>
      <c r="D5">
        <v>1</v>
      </c>
      <c r="E5" s="8">
        <f>SUMIFS('Invoice_141787_2026-06-30'!$F$2:$F$69,'Invoice_141787_2026-06-30'!$J$2:$J$69,$A5,'Invoice_141787_2026-06-30'!$T$2:$T$69,$B5)</f>
        <v>5</v>
      </c>
      <c r="F5" s="9">
        <v>0</v>
      </c>
      <c r="G5" s="8">
        <f>IF($F5="","",$F5-$E5)</f>
        <v>-5</v>
      </c>
    </row>
    <row r="6" spans="1:7" x14ac:dyDescent="0.2">
      <c r="A6" t="s">
        <v>166</v>
      </c>
      <c r="B6" t="s">
        <v>80</v>
      </c>
      <c r="C6">
        <v>1</v>
      </c>
      <c r="D6">
        <v>1</v>
      </c>
      <c r="E6" s="8">
        <f>SUMIFS('Invoice_141787_2026-06-30'!$F$2:$F$69,'Invoice_141787_2026-06-30'!$J$2:$J$69,$A6,'Invoice_141787_2026-06-30'!$T$2:$T$69,$B6)</f>
        <v>100</v>
      </c>
      <c r="F6" s="9">
        <v>348</v>
      </c>
      <c r="G6" s="8">
        <f>IF($F6="","",$F6-$E6)</f>
        <v>248</v>
      </c>
    </row>
    <row r="7" spans="1:7" x14ac:dyDescent="0.2">
      <c r="A7" s="12" t="s">
        <v>261</v>
      </c>
      <c r="B7" s="12"/>
      <c r="C7" s="12">
        <f>SUM(C5:C6)</f>
        <v>2</v>
      </c>
      <c r="D7" s="12">
        <f>SUM(D5:D6)</f>
        <v>2</v>
      </c>
      <c r="E7" s="13">
        <f>SUM(E5:E6)</f>
        <v>105</v>
      </c>
      <c r="F7" s="13">
        <f>SUM(F5:F6)</f>
        <v>348</v>
      </c>
      <c r="G7" s="13">
        <f>SUM(G5:G6)</f>
        <v>243</v>
      </c>
    </row>
    <row r="8" spans="1:7" x14ac:dyDescent="0.2">
      <c r="E8" s="8"/>
      <c r="F8" s="9"/>
      <c r="G8" s="8"/>
    </row>
    <row r="9" spans="1:7" x14ac:dyDescent="0.2">
      <c r="A9" t="s">
        <v>196</v>
      </c>
      <c r="B9" t="s">
        <v>114</v>
      </c>
      <c r="C9">
        <v>1</v>
      </c>
      <c r="D9">
        <v>1</v>
      </c>
      <c r="E9" s="8">
        <f>SUMIFS('Invoice_141787_2026-06-30'!$F$2:$F$69,'Invoice_141787_2026-06-30'!$J$2:$J$69,$A9,'Invoice_141787_2026-06-30'!$T$2:$T$69,$B9)</f>
        <v>5</v>
      </c>
      <c r="F9" s="9">
        <v>0</v>
      </c>
      <c r="G9" s="8">
        <f>IF($F9="","",$F9-$E9)</f>
        <v>-5</v>
      </c>
    </row>
    <row r="10" spans="1:7" x14ac:dyDescent="0.2">
      <c r="A10" t="s">
        <v>196</v>
      </c>
      <c r="B10" t="s">
        <v>199</v>
      </c>
      <c r="C10">
        <v>1</v>
      </c>
      <c r="D10">
        <v>1</v>
      </c>
      <c r="E10" s="8">
        <f>SUMIFS('Invoice_141787_2026-06-30'!$F$2:$F$69,'Invoice_141787_2026-06-30'!$J$2:$J$69,$A10,'Invoice_141787_2026-06-30'!$T$2:$T$69,$B10)</f>
        <v>110.5</v>
      </c>
      <c r="F10" s="9">
        <v>179</v>
      </c>
      <c r="G10" s="8">
        <f>IF($F10="","",$F10-$E10)</f>
        <v>68.5</v>
      </c>
    </row>
    <row r="11" spans="1:7" x14ac:dyDescent="0.2">
      <c r="A11" s="12" t="s">
        <v>293</v>
      </c>
      <c r="B11" s="12"/>
      <c r="C11" s="12">
        <f>SUM(C9:C10)</f>
        <v>2</v>
      </c>
      <c r="D11" s="12">
        <f>SUM(D9:D10)</f>
        <v>2</v>
      </c>
      <c r="E11" s="13">
        <f>SUM(E9:E10)</f>
        <v>115.5</v>
      </c>
      <c r="F11" s="13">
        <f>SUM(F9:F10)</f>
        <v>179</v>
      </c>
      <c r="G11" s="13">
        <f>SUM(G9:G10)</f>
        <v>63.5</v>
      </c>
    </row>
    <row r="12" spans="1:7" x14ac:dyDescent="0.2">
      <c r="E12" s="8"/>
      <c r="F12" s="9"/>
      <c r="G12" s="8"/>
    </row>
    <row r="13" spans="1:7" x14ac:dyDescent="0.2">
      <c r="A13" t="s">
        <v>206</v>
      </c>
      <c r="B13" t="s">
        <v>114</v>
      </c>
      <c r="C13">
        <v>1</v>
      </c>
      <c r="D13">
        <v>1</v>
      </c>
      <c r="E13" s="8">
        <f>SUMIFS('Invoice_141787_2026-06-30'!$F$2:$F$69,'Invoice_141787_2026-06-30'!$J$2:$J$69,$A13,'Invoice_141787_2026-06-30'!$T$2:$T$69,$B13)</f>
        <v>5</v>
      </c>
      <c r="F13" s="9">
        <v>0</v>
      </c>
      <c r="G13" s="8">
        <f>IF($F13="","",$F13-$E13)</f>
        <v>-5</v>
      </c>
    </row>
    <row r="14" spans="1:7" x14ac:dyDescent="0.2">
      <c r="A14" t="s">
        <v>206</v>
      </c>
      <c r="B14" t="s">
        <v>199</v>
      </c>
      <c r="C14">
        <v>1</v>
      </c>
      <c r="D14">
        <v>1</v>
      </c>
      <c r="E14" s="8">
        <f>SUMIFS('Invoice_141787_2026-06-30'!$F$2:$F$69,'Invoice_141787_2026-06-30'!$J$2:$J$69,$A14,'Invoice_141787_2026-06-30'!$T$2:$T$69,$B14)</f>
        <v>118.5</v>
      </c>
      <c r="F14" s="9">
        <v>179</v>
      </c>
      <c r="G14" s="8">
        <f>IF($F14="","",$F14-$E14)</f>
        <v>60.5</v>
      </c>
    </row>
    <row r="15" spans="1:7" x14ac:dyDescent="0.2">
      <c r="A15" s="12" t="s">
        <v>294</v>
      </c>
      <c r="B15" s="12"/>
      <c r="C15" s="12">
        <f>SUM(C13:C14)</f>
        <v>2</v>
      </c>
      <c r="D15" s="12">
        <f>SUM(D13:D14)</f>
        <v>2</v>
      </c>
      <c r="E15" s="13">
        <f>SUM(E13:E14)</f>
        <v>123.5</v>
      </c>
      <c r="F15" s="13">
        <f>SUM(F13:F14)</f>
        <v>179</v>
      </c>
      <c r="G15" s="13">
        <f>SUM(G13:G14)</f>
        <v>55.5</v>
      </c>
    </row>
    <row r="16" spans="1:7" x14ac:dyDescent="0.2">
      <c r="E16" s="8"/>
      <c r="F16" s="9"/>
      <c r="G16" s="8"/>
    </row>
    <row r="17" spans="1:7" x14ac:dyDescent="0.2">
      <c r="A17" t="s">
        <v>171</v>
      </c>
      <c r="B17" t="s">
        <v>114</v>
      </c>
      <c r="C17">
        <v>1</v>
      </c>
      <c r="D17">
        <v>1</v>
      </c>
      <c r="E17" s="8">
        <f>SUMIFS('Invoice_141787_2026-06-30'!$F$2:$F$69,'Invoice_141787_2026-06-30'!$J$2:$J$69,$A17,'Invoice_141787_2026-06-30'!$T$2:$T$69,$B17)</f>
        <v>5</v>
      </c>
      <c r="F17" s="9">
        <v>0</v>
      </c>
      <c r="G17" s="8">
        <f>IF($F17="","",$F17-$E17)</f>
        <v>-5</v>
      </c>
    </row>
    <row r="18" spans="1:7" x14ac:dyDescent="0.2">
      <c r="A18" t="s">
        <v>171</v>
      </c>
      <c r="B18" t="s">
        <v>80</v>
      </c>
      <c r="C18">
        <v>1</v>
      </c>
      <c r="D18">
        <v>1</v>
      </c>
      <c r="E18" s="8">
        <f>SUMIFS('Invoice_141787_2026-06-30'!$F$2:$F$69,'Invoice_141787_2026-06-30'!$J$2:$J$69,$A18,'Invoice_141787_2026-06-30'!$T$2:$T$69,$B18)</f>
        <v>100</v>
      </c>
      <c r="F18" s="9">
        <v>179</v>
      </c>
      <c r="G18" s="8">
        <f>IF($F18="","",$F18-$E18)</f>
        <v>79</v>
      </c>
    </row>
    <row r="19" spans="1:7" x14ac:dyDescent="0.2">
      <c r="A19" s="12" t="s">
        <v>262</v>
      </c>
      <c r="B19" s="12"/>
      <c r="C19" s="12">
        <f>SUM(C17:C18)</f>
        <v>2</v>
      </c>
      <c r="D19" s="12">
        <f>SUM(D17:D18)</f>
        <v>2</v>
      </c>
      <c r="E19" s="13">
        <f>SUM(E17:E18)</f>
        <v>105</v>
      </c>
      <c r="F19" s="13">
        <f>SUM(F17:F18)</f>
        <v>179</v>
      </c>
      <c r="G19" s="13">
        <f>SUM(G17:G18)</f>
        <v>74</v>
      </c>
    </row>
    <row r="20" spans="1:7" x14ac:dyDescent="0.2">
      <c r="E20" s="8"/>
      <c r="F20" s="9"/>
      <c r="G20" s="8"/>
    </row>
    <row r="21" spans="1:7" x14ac:dyDescent="0.2">
      <c r="A21" t="s">
        <v>240</v>
      </c>
      <c r="B21" t="s">
        <v>221</v>
      </c>
      <c r="C21">
        <v>1</v>
      </c>
      <c r="D21">
        <v>1</v>
      </c>
      <c r="E21" s="8">
        <f>SUMIFS('Invoice_141787_2026-06-30'!$F$2:$F$69,'Invoice_141787_2026-06-30'!$J$2:$J$69,$A21,'Invoice_141787_2026-06-30'!$T$2:$T$69,$B21)</f>
        <v>15</v>
      </c>
      <c r="F21" s="9">
        <v>114.4</v>
      </c>
      <c r="G21" s="8">
        <f>IF($F21="","",$F21-$E21)</f>
        <v>99.4</v>
      </c>
    </row>
    <row r="22" spans="1:7" x14ac:dyDescent="0.2">
      <c r="A22" t="s">
        <v>240</v>
      </c>
      <c r="B22" t="s">
        <v>243</v>
      </c>
      <c r="C22">
        <v>1</v>
      </c>
      <c r="D22">
        <v>1</v>
      </c>
      <c r="E22" s="8">
        <f>SUMIFS('Invoice_141787_2026-06-30'!$F$2:$F$69,'Invoice_141787_2026-06-30'!$J$2:$J$69,$A22,'Invoice_141787_2026-06-30'!$T$2:$T$69,$B22)</f>
        <v>-5.45</v>
      </c>
      <c r="F22" s="9">
        <v>0</v>
      </c>
      <c r="G22" s="8">
        <f>IF($F22="","",$F22-$E22)</f>
        <v>5.45</v>
      </c>
    </row>
    <row r="23" spans="1:7" x14ac:dyDescent="0.2">
      <c r="A23" s="12" t="s">
        <v>263</v>
      </c>
      <c r="B23" s="12"/>
      <c r="C23" s="12">
        <f>SUM(C21:C22)</f>
        <v>2</v>
      </c>
      <c r="D23" s="12">
        <f>SUM(D21:D22)</f>
        <v>2</v>
      </c>
      <c r="E23" s="13">
        <f>SUM(E21:E22)</f>
        <v>9.5500000000000007</v>
      </c>
      <c r="F23" s="13">
        <f>SUM(F21:F22)</f>
        <v>114.4</v>
      </c>
      <c r="G23" s="13">
        <f>SUM(G21:G22)</f>
        <v>104.85000000000001</v>
      </c>
    </row>
    <row r="24" spans="1:7" x14ac:dyDescent="0.2">
      <c r="E24" s="8"/>
      <c r="F24" s="9"/>
      <c r="G24" s="8"/>
    </row>
    <row r="25" spans="1:7" x14ac:dyDescent="0.2">
      <c r="A25" t="s">
        <v>139</v>
      </c>
      <c r="B25" t="s">
        <v>221</v>
      </c>
      <c r="C25">
        <v>1</v>
      </c>
      <c r="D25">
        <v>1</v>
      </c>
      <c r="E25" s="8">
        <f>SUMIFS('Invoice_141787_2026-06-30'!$F$2:$F$69,'Invoice_141787_2026-06-30'!$J$2:$J$69,$A25,'Invoice_141787_2026-06-30'!$T$2:$T$69,$B25)</f>
        <v>15</v>
      </c>
      <c r="F25" s="9">
        <v>0</v>
      </c>
      <c r="G25" s="8">
        <f>IF($F25="","",$F25-$E25)</f>
        <v>-15</v>
      </c>
    </row>
    <row r="26" spans="1:7" x14ac:dyDescent="0.2">
      <c r="A26" t="s">
        <v>139</v>
      </c>
      <c r="B26" t="s">
        <v>80</v>
      </c>
      <c r="C26">
        <v>1</v>
      </c>
      <c r="D26">
        <v>1</v>
      </c>
      <c r="E26" s="8">
        <f>SUMIFS('Invoice_141787_2026-06-30'!$F$2:$F$69,'Invoice_141787_2026-06-30'!$J$2:$J$69,$A26,'Invoice_141787_2026-06-30'!$T$2:$T$69,$B26)</f>
        <v>100</v>
      </c>
      <c r="F26" s="9">
        <v>170.5</v>
      </c>
      <c r="G26" s="8">
        <f>IF($F26="","",$F26-$E26)</f>
        <v>70.5</v>
      </c>
    </row>
    <row r="27" spans="1:7" x14ac:dyDescent="0.2">
      <c r="A27" s="12" t="s">
        <v>264</v>
      </c>
      <c r="B27" s="12"/>
      <c r="C27" s="12">
        <f>SUM(C25:C26)</f>
        <v>2</v>
      </c>
      <c r="D27" s="12">
        <f>SUM(D25:D26)</f>
        <v>2</v>
      </c>
      <c r="E27" s="13">
        <f>SUM(E25:E26)</f>
        <v>115</v>
      </c>
      <c r="F27" s="13">
        <f>SUM(F25:F26)</f>
        <v>170.5</v>
      </c>
      <c r="G27" s="13">
        <f>SUM(G25:G26)</f>
        <v>55.5</v>
      </c>
    </row>
    <row r="28" spans="1:7" x14ac:dyDescent="0.2">
      <c r="E28" s="8"/>
      <c r="F28" s="9"/>
      <c r="G28" s="8"/>
    </row>
    <row r="29" spans="1:7" x14ac:dyDescent="0.2">
      <c r="A29" t="s">
        <v>116</v>
      </c>
      <c r="B29" t="s">
        <v>114</v>
      </c>
      <c r="C29">
        <v>2</v>
      </c>
      <c r="D29">
        <v>2</v>
      </c>
      <c r="E29" s="8">
        <f>SUMIFS('Invoice_141787_2026-06-30'!$F$2:$F$69,'Invoice_141787_2026-06-30'!$J$2:$J$69,$A29,'Invoice_141787_2026-06-30'!$T$2:$T$69,$B29)</f>
        <v>10</v>
      </c>
      <c r="F29" s="9">
        <v>0</v>
      </c>
      <c r="G29" s="8">
        <f>IF($F29="","",$F29-$E29)</f>
        <v>-10</v>
      </c>
    </row>
    <row r="30" spans="1:7" x14ac:dyDescent="0.2">
      <c r="A30" t="s">
        <v>116</v>
      </c>
      <c r="B30" t="s">
        <v>58</v>
      </c>
      <c r="C30">
        <v>1</v>
      </c>
      <c r="D30">
        <v>1</v>
      </c>
      <c r="E30" s="8">
        <f>SUMIFS('Invoice_141787_2026-06-30'!$F$2:$F$69,'Invoice_141787_2026-06-30'!$J$2:$J$69,$A30,'Invoice_141787_2026-06-30'!$T$2:$T$69,$B30)</f>
        <v>87</v>
      </c>
      <c r="F30" s="9">
        <v>132.5</v>
      </c>
      <c r="G30" s="8">
        <f>IF($F30="","",$F30-$E30)</f>
        <v>45.5</v>
      </c>
    </row>
    <row r="31" spans="1:7" x14ac:dyDescent="0.2">
      <c r="A31" t="s">
        <v>116</v>
      </c>
      <c r="B31" t="s">
        <v>80</v>
      </c>
      <c r="C31">
        <v>1</v>
      </c>
      <c r="D31">
        <v>1</v>
      </c>
      <c r="E31" s="8">
        <f>SUMIFS('Invoice_141787_2026-06-30'!$F$2:$F$69,'Invoice_141787_2026-06-30'!$J$2:$J$69,$A31,'Invoice_141787_2026-06-30'!$T$2:$T$69,$B31)</f>
        <v>100</v>
      </c>
      <c r="F31" s="9">
        <v>169.4</v>
      </c>
      <c r="G31" s="8">
        <f>IF($F31="","",$F31-$E31)</f>
        <v>69.400000000000006</v>
      </c>
    </row>
    <row r="32" spans="1:7" x14ac:dyDescent="0.2">
      <c r="A32" s="12" t="s">
        <v>265</v>
      </c>
      <c r="B32" s="12"/>
      <c r="C32" s="12">
        <f>SUM(C29:C31)</f>
        <v>4</v>
      </c>
      <c r="D32" s="12">
        <f>SUM(D29:D31)</f>
        <v>4</v>
      </c>
      <c r="E32" s="13">
        <f>SUM(E29:E31)</f>
        <v>197</v>
      </c>
      <c r="F32" s="13">
        <f>SUM(F29:F31)</f>
        <v>301.89999999999998</v>
      </c>
      <c r="G32" s="13">
        <f>SUM(G29:G31)</f>
        <v>104.9</v>
      </c>
    </row>
    <row r="33" spans="1:8" x14ac:dyDescent="0.2">
      <c r="E33" s="8"/>
      <c r="F33" s="9"/>
      <c r="G33" s="8"/>
    </row>
    <row r="34" spans="1:8" x14ac:dyDescent="0.2">
      <c r="A34" t="s">
        <v>30</v>
      </c>
      <c r="B34" t="s">
        <v>249</v>
      </c>
      <c r="C34">
        <v>1</v>
      </c>
      <c r="D34">
        <v>1</v>
      </c>
      <c r="E34" s="8">
        <f>SUMIFS('Invoice_141787_2026-06-30'!$F$2:$F$69,'Invoice_141787_2026-06-30'!$J$2:$J$69,$A34,'Invoice_141787_2026-06-30'!$T$2:$T$69,$B34)</f>
        <v>21.98</v>
      </c>
      <c r="F34" s="9">
        <v>0</v>
      </c>
      <c r="G34" s="8">
        <f>IF($F34="","",$F34-$E34)</f>
        <v>-21.98</v>
      </c>
    </row>
    <row r="35" spans="1:8" x14ac:dyDescent="0.2">
      <c r="A35" t="s">
        <v>30</v>
      </c>
      <c r="B35" t="s">
        <v>221</v>
      </c>
      <c r="C35">
        <v>1</v>
      </c>
      <c r="D35">
        <v>1</v>
      </c>
      <c r="E35" s="8">
        <f>SUMIFS('Invoice_141787_2026-06-30'!$F$2:$F$69,'Invoice_141787_2026-06-30'!$J$2:$J$69,$A35,'Invoice_141787_2026-06-30'!$T$2:$T$69,$B35)</f>
        <v>15</v>
      </c>
      <c r="F35" s="9">
        <v>0</v>
      </c>
      <c r="G35" s="8">
        <f>IF($F35="","",$F35-$E35)</f>
        <v>-15</v>
      </c>
    </row>
    <row r="36" spans="1:8" x14ac:dyDescent="0.2">
      <c r="A36" t="s">
        <v>30</v>
      </c>
      <c r="B36" t="s">
        <v>33</v>
      </c>
      <c r="C36">
        <v>1</v>
      </c>
      <c r="D36">
        <v>1</v>
      </c>
      <c r="E36" s="8">
        <f>SUMIFS('Invoice_141787_2026-06-30'!$F$2:$F$69,'Invoice_141787_2026-06-30'!$J$2:$J$69,$A36,'Invoice_141787_2026-06-30'!$T$2:$T$69,$B36)</f>
        <v>0</v>
      </c>
      <c r="F36" s="9">
        <v>0</v>
      </c>
      <c r="G36" s="8">
        <f>IF($F36="","",$F36-$E36)</f>
        <v>0</v>
      </c>
    </row>
    <row r="37" spans="1:8" x14ac:dyDescent="0.2">
      <c r="A37" t="s">
        <v>30</v>
      </c>
      <c r="B37" t="s">
        <v>58</v>
      </c>
      <c r="C37">
        <v>1</v>
      </c>
      <c r="D37">
        <v>1</v>
      </c>
      <c r="E37" s="8">
        <f>SUMIFS('Invoice_141787_2026-06-30'!$F$2:$F$69,'Invoice_141787_2026-06-30'!$J$2:$J$69,$A37,'Invoice_141787_2026-06-30'!$T$2:$T$69,$B37)</f>
        <v>87</v>
      </c>
      <c r="F37" s="9">
        <v>0</v>
      </c>
      <c r="G37" s="8">
        <f>IF($F37="","",$F37-$E37)</f>
        <v>-87</v>
      </c>
    </row>
    <row r="38" spans="1:8" x14ac:dyDescent="0.2">
      <c r="A38" t="s">
        <v>30</v>
      </c>
      <c r="B38" t="s">
        <v>246</v>
      </c>
      <c r="C38">
        <v>2</v>
      </c>
      <c r="D38">
        <v>2</v>
      </c>
      <c r="E38" s="8">
        <f>SUMIFS('Invoice_141787_2026-06-30'!$F$2:$F$69,'Invoice_141787_2026-06-30'!$J$2:$J$69,$A38,'Invoice_141787_2026-06-30'!$T$2:$T$69,$B38)</f>
        <v>2.74</v>
      </c>
      <c r="F38" s="9">
        <v>0</v>
      </c>
      <c r="G38" s="8">
        <f>IF($F38="","",$F38-$E38)</f>
        <v>-2.74</v>
      </c>
    </row>
    <row r="39" spans="1:8" x14ac:dyDescent="0.2">
      <c r="A39" s="12" t="s">
        <v>266</v>
      </c>
      <c r="B39" s="12"/>
      <c r="C39" s="12">
        <f>SUM(C34:C38)</f>
        <v>6</v>
      </c>
      <c r="D39" s="12">
        <f>SUM(D34:D38)</f>
        <v>6</v>
      </c>
      <c r="E39" s="13">
        <f>SUM(E34:E38)</f>
        <v>126.72</v>
      </c>
      <c r="F39" s="13">
        <f>SUM(F34:F38)</f>
        <v>0</v>
      </c>
      <c r="G39" s="13">
        <f>SUM(G34:G38)</f>
        <v>-126.72</v>
      </c>
    </row>
    <row r="40" spans="1:8" x14ac:dyDescent="0.2">
      <c r="E40" s="8"/>
      <c r="F40" s="9"/>
      <c r="G40" s="8"/>
    </row>
    <row r="41" spans="1:8" x14ac:dyDescent="0.2">
      <c r="A41" t="s">
        <v>39</v>
      </c>
      <c r="B41" t="s">
        <v>221</v>
      </c>
      <c r="C41">
        <v>1</v>
      </c>
      <c r="D41">
        <v>1</v>
      </c>
      <c r="E41" s="8">
        <f>SUMIFS('Invoice_141787_2026-06-30'!$F$2:$F$69,'Invoice_141787_2026-06-30'!$J$2:$J$69,$A41,'Invoice_141787_2026-06-30'!$T$2:$T$69,$B41)</f>
        <v>15</v>
      </c>
      <c r="F41" s="9">
        <v>0</v>
      </c>
      <c r="G41" s="8">
        <f>IF($F41="","",$F41-$E41)</f>
        <v>-15</v>
      </c>
      <c r="H41" t="s">
        <v>299</v>
      </c>
    </row>
    <row r="42" spans="1:8" x14ac:dyDescent="0.2">
      <c r="A42" t="s">
        <v>39</v>
      </c>
      <c r="B42" t="s">
        <v>80</v>
      </c>
      <c r="C42">
        <v>1</v>
      </c>
      <c r="D42">
        <v>1</v>
      </c>
      <c r="E42" s="8">
        <f>SUMIFS('Invoice_141787_2026-06-30'!$F$2:$F$69,'Invoice_141787_2026-06-30'!$J$2:$J$69,$A42,'Invoice_141787_2026-06-30'!$T$2:$T$69,$B42)</f>
        <v>100</v>
      </c>
      <c r="F42" s="9">
        <v>0</v>
      </c>
      <c r="G42" s="8">
        <f>IF($F42="","",$F42-$E42)</f>
        <v>-100</v>
      </c>
      <c r="H42" t="s">
        <v>299</v>
      </c>
    </row>
    <row r="43" spans="1:8" x14ac:dyDescent="0.2">
      <c r="A43" s="12" t="s">
        <v>267</v>
      </c>
      <c r="B43" s="12"/>
      <c r="C43" s="12">
        <f>SUM(C41:C42)</f>
        <v>2</v>
      </c>
      <c r="D43" s="12">
        <f>SUM(D41:D42)</f>
        <v>2</v>
      </c>
      <c r="E43" s="13">
        <f>SUM(E41:E42)</f>
        <v>115</v>
      </c>
      <c r="F43" s="13">
        <f>SUM(F41:F42)</f>
        <v>0</v>
      </c>
      <c r="G43" s="13">
        <f>SUM(G41:G42)</f>
        <v>-115</v>
      </c>
    </row>
    <row r="44" spans="1:8" x14ac:dyDescent="0.2">
      <c r="E44" s="8"/>
      <c r="F44" s="9"/>
      <c r="G44" s="8"/>
    </row>
    <row r="45" spans="1:8" x14ac:dyDescent="0.2">
      <c r="A45" t="s">
        <v>160</v>
      </c>
      <c r="B45" t="s">
        <v>45</v>
      </c>
      <c r="C45">
        <v>2</v>
      </c>
      <c r="D45">
        <v>2</v>
      </c>
      <c r="E45" s="8">
        <f>SUMIFS('Invoice_141787_2026-06-30'!$F$2:$F$69,'Invoice_141787_2026-06-30'!$J$2:$J$69,$A45,'Invoice_141787_2026-06-30'!$T$2:$T$69,$B45)</f>
        <v>12</v>
      </c>
      <c r="F45" s="9">
        <v>15.62</v>
      </c>
      <c r="G45" s="8">
        <f>IF($F45="","",$F45-$E45)</f>
        <v>3.6199999999999992</v>
      </c>
    </row>
    <row r="46" spans="1:8" x14ac:dyDescent="0.2">
      <c r="A46" t="s">
        <v>160</v>
      </c>
      <c r="B46" t="s">
        <v>114</v>
      </c>
      <c r="C46">
        <v>1</v>
      </c>
      <c r="D46">
        <v>1</v>
      </c>
      <c r="E46" s="8">
        <f>SUMIFS('Invoice_141787_2026-06-30'!$F$2:$F$69,'Invoice_141787_2026-06-30'!$J$2:$J$69,$A46,'Invoice_141787_2026-06-30'!$T$2:$T$69,$B46)</f>
        <v>5</v>
      </c>
      <c r="F46" s="9">
        <v>0</v>
      </c>
      <c r="G46" s="8">
        <f>IF($F46="","",$F46-$E46)</f>
        <v>-5</v>
      </c>
    </row>
    <row r="47" spans="1:8" x14ac:dyDescent="0.2">
      <c r="A47" t="s">
        <v>160</v>
      </c>
      <c r="B47" t="s">
        <v>80</v>
      </c>
      <c r="C47">
        <v>1</v>
      </c>
      <c r="D47">
        <v>1</v>
      </c>
      <c r="E47" s="8">
        <f>SUMIFS('Invoice_141787_2026-06-30'!$F$2:$F$69,'Invoice_141787_2026-06-30'!$J$2:$J$69,$A47,'Invoice_141787_2026-06-30'!$T$2:$T$69,$B47)</f>
        <v>100</v>
      </c>
      <c r="F47" s="9">
        <v>257.99</v>
      </c>
      <c r="G47" s="8">
        <f>IF($F47="","",$F47-$E47)</f>
        <v>157.99</v>
      </c>
    </row>
    <row r="48" spans="1:8" x14ac:dyDescent="0.2">
      <c r="A48" t="s">
        <v>160</v>
      </c>
      <c r="B48" t="s">
        <v>297</v>
      </c>
      <c r="E48" s="8"/>
      <c r="F48" s="9">
        <f>54+54+90+103.55+225+18+187.2</f>
        <v>731.75</v>
      </c>
      <c r="G48" s="8"/>
    </row>
    <row r="49" spans="1:7" x14ac:dyDescent="0.2">
      <c r="A49" s="12" t="s">
        <v>268</v>
      </c>
      <c r="B49" s="12"/>
      <c r="C49" s="12">
        <f>SUM(C45:C48)</f>
        <v>4</v>
      </c>
      <c r="D49" s="12">
        <f>SUM(D45:D48)</f>
        <v>4</v>
      </c>
      <c r="E49" s="13">
        <f>SUM(E45:E48)</f>
        <v>117</v>
      </c>
      <c r="F49" s="13">
        <f>SUM(F45:F48)</f>
        <v>1005.36</v>
      </c>
      <c r="G49" s="13">
        <f>SUM(G45:G48)</f>
        <v>156.61000000000001</v>
      </c>
    </row>
    <row r="50" spans="1:7" x14ac:dyDescent="0.2">
      <c r="E50" s="8"/>
      <c r="F50" s="9"/>
      <c r="G50" s="8"/>
    </row>
    <row r="51" spans="1:7" x14ac:dyDescent="0.2">
      <c r="A51" t="s">
        <v>36</v>
      </c>
      <c r="B51" t="s">
        <v>249</v>
      </c>
      <c r="C51">
        <v>1</v>
      </c>
      <c r="D51">
        <v>1</v>
      </c>
      <c r="E51" s="8">
        <f>SUMIFS('Invoice_141787_2026-06-30'!$F$2:$F$69,'Invoice_141787_2026-06-30'!$J$2:$J$69,$A51,'Invoice_141787_2026-06-30'!$T$2:$T$69,$B51)</f>
        <v>24.2</v>
      </c>
      <c r="F51" s="9"/>
      <c r="G51" s="8" t="str">
        <f>IF($F51="","",$F51-$E51)</f>
        <v/>
      </c>
    </row>
    <row r="52" spans="1:7" x14ac:dyDescent="0.2">
      <c r="A52" t="s">
        <v>36</v>
      </c>
      <c r="B52" t="s">
        <v>45</v>
      </c>
      <c r="C52">
        <v>1</v>
      </c>
      <c r="D52">
        <v>1</v>
      </c>
      <c r="E52" s="8">
        <f>SUMIFS('Invoice_141787_2026-06-30'!$F$2:$F$69,'Invoice_141787_2026-06-30'!$J$2:$J$69,$A52,'Invoice_141787_2026-06-30'!$T$2:$T$69,$B52)</f>
        <v>6</v>
      </c>
      <c r="F52" s="9">
        <v>8.8000000000000007</v>
      </c>
      <c r="G52" s="8">
        <f>IF($F52="","",$F52-$E52)</f>
        <v>2.8000000000000007</v>
      </c>
    </row>
    <row r="53" spans="1:7" x14ac:dyDescent="0.2">
      <c r="A53" t="s">
        <v>36</v>
      </c>
      <c r="B53" t="s">
        <v>33</v>
      </c>
      <c r="C53">
        <v>2</v>
      </c>
      <c r="D53">
        <v>2</v>
      </c>
      <c r="E53" s="8">
        <f>SUMIFS('Invoice_141787_2026-06-30'!$F$2:$F$69,'Invoice_141787_2026-06-30'!$J$2:$J$69,$A53,'Invoice_141787_2026-06-30'!$T$2:$T$69,$B53)</f>
        <v>0</v>
      </c>
      <c r="F53" s="9">
        <v>60</v>
      </c>
      <c r="G53" s="8">
        <f>IF($F53="","",$F53-$E53)</f>
        <v>60</v>
      </c>
    </row>
    <row r="54" spans="1:7" x14ac:dyDescent="0.2">
      <c r="A54" t="s">
        <v>36</v>
      </c>
      <c r="B54" t="s">
        <v>246</v>
      </c>
      <c r="C54">
        <v>7</v>
      </c>
      <c r="D54">
        <v>7</v>
      </c>
      <c r="E54" s="8">
        <f>SUMIFS('Invoice_141787_2026-06-30'!$F$2:$F$69,'Invoice_141787_2026-06-30'!$J$2:$J$69,$A54,'Invoice_141787_2026-06-30'!$T$2:$T$69,$B54)</f>
        <v>91.460000000000008</v>
      </c>
      <c r="F54" s="9">
        <v>192.5</v>
      </c>
      <c r="G54" s="8">
        <f>IF($F54="","",$F54-$E54)</f>
        <v>101.03999999999999</v>
      </c>
    </row>
    <row r="55" spans="1:7" x14ac:dyDescent="0.2">
      <c r="A55" s="12" t="s">
        <v>269</v>
      </c>
      <c r="B55" s="12"/>
      <c r="C55" s="12">
        <f>SUM(C51:C54)</f>
        <v>11</v>
      </c>
      <c r="D55" s="12">
        <f>SUM(D51:D54)</f>
        <v>11</v>
      </c>
      <c r="E55" s="13">
        <f>SUM(E51:E54)</f>
        <v>121.66000000000001</v>
      </c>
      <c r="F55" s="13">
        <f>SUM(F51:F54)</f>
        <v>261.3</v>
      </c>
      <c r="G55" s="13">
        <f>SUM(G51:G54)</f>
        <v>163.83999999999997</v>
      </c>
    </row>
    <row r="56" spans="1:7" x14ac:dyDescent="0.2">
      <c r="E56" s="8"/>
      <c r="F56" s="9"/>
      <c r="G56" s="8"/>
    </row>
    <row r="57" spans="1:7" x14ac:dyDescent="0.2">
      <c r="A57" t="s">
        <v>100</v>
      </c>
      <c r="B57" t="s">
        <v>221</v>
      </c>
      <c r="C57">
        <v>1</v>
      </c>
      <c r="D57">
        <v>1</v>
      </c>
      <c r="E57" s="8">
        <f>SUMIFS('Invoice_141787_2026-06-30'!$F$2:$F$69,'Invoice_141787_2026-06-30'!$J$2:$J$69,$A57,'Invoice_141787_2026-06-30'!$T$2:$T$69,$B57)</f>
        <v>15</v>
      </c>
      <c r="F57" s="9">
        <v>0</v>
      </c>
      <c r="G57" s="8">
        <f>IF($F57="","",$F57-$E57)</f>
        <v>-15</v>
      </c>
    </row>
    <row r="58" spans="1:7" x14ac:dyDescent="0.2">
      <c r="A58" t="s">
        <v>100</v>
      </c>
      <c r="B58" t="s">
        <v>80</v>
      </c>
      <c r="C58">
        <v>1</v>
      </c>
      <c r="D58">
        <v>1</v>
      </c>
      <c r="E58" s="8">
        <f>SUMIFS('Invoice_141787_2026-06-30'!$F$2:$F$69,'Invoice_141787_2026-06-30'!$J$2:$J$69,$A58,'Invoice_141787_2026-06-30'!$T$2:$T$69,$B58)</f>
        <v>100</v>
      </c>
      <c r="F58" s="9">
        <v>163.9</v>
      </c>
      <c r="G58" s="8">
        <f>IF($F58="","",$F58-$E58)</f>
        <v>63.900000000000006</v>
      </c>
    </row>
    <row r="59" spans="1:7" x14ac:dyDescent="0.2">
      <c r="A59" s="12" t="s">
        <v>270</v>
      </c>
      <c r="B59" s="12"/>
      <c r="C59" s="12">
        <f>SUM(C57:C58)</f>
        <v>2</v>
      </c>
      <c r="D59" s="12">
        <f>SUM(D57:D58)</f>
        <v>2</v>
      </c>
      <c r="E59" s="13">
        <f>SUM(E57:E58)</f>
        <v>115</v>
      </c>
      <c r="F59" s="13">
        <f>SUM(F57:F58)</f>
        <v>163.9</v>
      </c>
      <c r="G59" s="13">
        <f>SUM(G57:G58)</f>
        <v>48.900000000000006</v>
      </c>
    </row>
    <row r="60" spans="1:7" x14ac:dyDescent="0.2">
      <c r="E60" s="8"/>
      <c r="F60" s="9"/>
      <c r="G60" s="8"/>
    </row>
    <row r="61" spans="1:7" x14ac:dyDescent="0.2">
      <c r="A61" t="s">
        <v>145</v>
      </c>
      <c r="B61" t="s">
        <v>58</v>
      </c>
      <c r="C61">
        <v>1</v>
      </c>
      <c r="D61">
        <v>1</v>
      </c>
      <c r="E61" s="8">
        <f>SUMIFS('Invoice_141787_2026-06-30'!$F$2:$F$69,'Invoice_141787_2026-06-30'!$J$2:$J$69,$A61,'Invoice_141787_2026-06-30'!$T$2:$T$69,$B61)</f>
        <v>87</v>
      </c>
      <c r="F61" s="9">
        <v>149</v>
      </c>
      <c r="G61" s="8">
        <f>IF($F61="","",$F61-$E61)</f>
        <v>62</v>
      </c>
    </row>
    <row r="62" spans="1:7" x14ac:dyDescent="0.2">
      <c r="A62" s="12" t="s">
        <v>271</v>
      </c>
      <c r="B62" s="12"/>
      <c r="C62" s="12">
        <f>SUM(C61:C61)</f>
        <v>1</v>
      </c>
      <c r="D62" s="12">
        <f>SUM(D61:D61)</f>
        <v>1</v>
      </c>
      <c r="E62" s="13">
        <f>SUM(E61:E61)</f>
        <v>87</v>
      </c>
      <c r="F62" s="13">
        <f>SUM(F61:F61)</f>
        <v>149</v>
      </c>
      <c r="G62" s="13">
        <f>SUM(G61:G61)</f>
        <v>62</v>
      </c>
    </row>
    <row r="63" spans="1:7" x14ac:dyDescent="0.2">
      <c r="E63" s="8"/>
      <c r="F63" s="9"/>
      <c r="G63" s="8"/>
    </row>
    <row r="64" spans="1:7" x14ac:dyDescent="0.2">
      <c r="A64" t="s">
        <v>133</v>
      </c>
      <c r="B64" t="s">
        <v>221</v>
      </c>
      <c r="C64">
        <v>1</v>
      </c>
      <c r="D64">
        <v>1</v>
      </c>
      <c r="E64" s="8">
        <f>SUMIFS('Invoice_141787_2026-06-30'!$F$2:$F$69,'Invoice_141787_2026-06-30'!$J$2:$J$69,$A64,'Invoice_141787_2026-06-30'!$T$2:$T$69,$B64)</f>
        <v>15</v>
      </c>
      <c r="F64" s="9">
        <v>0</v>
      </c>
      <c r="G64" s="8">
        <f>IF($F64="","",$F64-$E64)</f>
        <v>-15</v>
      </c>
    </row>
    <row r="65" spans="1:7" x14ac:dyDescent="0.2">
      <c r="A65" t="s">
        <v>133</v>
      </c>
      <c r="B65" t="s">
        <v>80</v>
      </c>
      <c r="C65">
        <v>1</v>
      </c>
      <c r="D65">
        <v>1</v>
      </c>
      <c r="E65" s="8">
        <f>SUMIFS('Invoice_141787_2026-06-30'!$F$2:$F$69,'Invoice_141787_2026-06-30'!$J$2:$J$69,$A65,'Invoice_141787_2026-06-30'!$T$2:$T$69,$B65)</f>
        <v>100</v>
      </c>
      <c r="F65" s="9">
        <v>198</v>
      </c>
      <c r="G65" s="8">
        <f>IF($F65="","",$F65-$E65)</f>
        <v>98</v>
      </c>
    </row>
    <row r="66" spans="1:7" x14ac:dyDescent="0.2">
      <c r="A66" s="12" t="s">
        <v>272</v>
      </c>
      <c r="B66" s="12"/>
      <c r="C66" s="12">
        <f>SUM(C64:C65)</f>
        <v>2</v>
      </c>
      <c r="D66" s="12">
        <f>SUM(D64:D65)</f>
        <v>2</v>
      </c>
      <c r="E66" s="13">
        <f>SUM(E64:E65)</f>
        <v>115</v>
      </c>
      <c r="F66" s="13">
        <f>SUM(F64:F65)</f>
        <v>198</v>
      </c>
      <c r="G66" s="13">
        <f>SUM(G64:G65)</f>
        <v>83</v>
      </c>
    </row>
    <row r="67" spans="1:7" x14ac:dyDescent="0.2">
      <c r="E67" s="8"/>
      <c r="F67" s="9"/>
      <c r="G67" s="8"/>
    </row>
    <row r="68" spans="1:7" x14ac:dyDescent="0.2">
      <c r="A68" t="s">
        <v>177</v>
      </c>
      <c r="B68" t="s">
        <v>221</v>
      </c>
      <c r="C68">
        <v>1</v>
      </c>
      <c r="D68">
        <v>1</v>
      </c>
      <c r="E68" s="8">
        <f>SUMIFS('Invoice_141787_2026-06-30'!$F$2:$F$69,'Invoice_141787_2026-06-30'!$J$2:$J$69,$A68,'Invoice_141787_2026-06-30'!$T$2:$T$69,$B68)</f>
        <v>15</v>
      </c>
      <c r="F68" s="9">
        <v>0</v>
      </c>
      <c r="G68" s="8">
        <f>IF($F68="","",$F68-$E68)</f>
        <v>-15</v>
      </c>
    </row>
    <row r="69" spans="1:7" x14ac:dyDescent="0.2">
      <c r="A69" t="s">
        <v>177</v>
      </c>
      <c r="B69" t="s">
        <v>181</v>
      </c>
      <c r="C69">
        <v>1</v>
      </c>
      <c r="D69">
        <v>1</v>
      </c>
      <c r="E69" s="8">
        <f>SUMIFS('Invoice_141787_2026-06-30'!$F$2:$F$69,'Invoice_141787_2026-06-30'!$J$2:$J$69,$A69,'Invoice_141787_2026-06-30'!$T$2:$T$69,$B69)</f>
        <v>79.5</v>
      </c>
      <c r="F69" s="9">
        <v>172.7</v>
      </c>
      <c r="G69" s="8">
        <f>IF($F69="","",$F69-$E69)</f>
        <v>93.199999999999989</v>
      </c>
    </row>
    <row r="70" spans="1:7" x14ac:dyDescent="0.2">
      <c r="A70" s="12" t="s">
        <v>273</v>
      </c>
      <c r="B70" s="12"/>
      <c r="C70" s="12">
        <f>SUM(C68:C69)</f>
        <v>2</v>
      </c>
      <c r="D70" s="12">
        <f>SUM(D68:D69)</f>
        <v>2</v>
      </c>
      <c r="E70" s="13">
        <f>SUM(E68:E69)</f>
        <v>94.5</v>
      </c>
      <c r="F70" s="13">
        <f>SUM(F68:F69)</f>
        <v>172.7</v>
      </c>
      <c r="G70" s="13">
        <f>SUM(G68:G69)</f>
        <v>78.199999999999989</v>
      </c>
    </row>
    <row r="71" spans="1:7" x14ac:dyDescent="0.2">
      <c r="E71" s="8"/>
      <c r="F71" s="9"/>
      <c r="G71" s="8"/>
    </row>
    <row r="72" spans="1:7" x14ac:dyDescent="0.2">
      <c r="A72" t="s">
        <v>148</v>
      </c>
      <c r="B72" t="s">
        <v>221</v>
      </c>
      <c r="C72">
        <v>1</v>
      </c>
      <c r="D72">
        <v>1</v>
      </c>
      <c r="E72" s="8">
        <f>SUMIFS('Invoice_141787_2026-06-30'!$F$2:$F$69,'Invoice_141787_2026-06-30'!$J$2:$J$69,$A72,'Invoice_141787_2026-06-30'!$T$2:$T$69,$B72)</f>
        <v>15</v>
      </c>
      <c r="F72" s="9">
        <v>0</v>
      </c>
      <c r="G72" s="8">
        <f>IF($F72="","",$F72-$E72)</f>
        <v>-15</v>
      </c>
    </row>
    <row r="73" spans="1:7" x14ac:dyDescent="0.2">
      <c r="A73" t="s">
        <v>148</v>
      </c>
      <c r="B73" t="s">
        <v>80</v>
      </c>
      <c r="C73">
        <v>1</v>
      </c>
      <c r="D73">
        <v>1</v>
      </c>
      <c r="E73" s="8">
        <f>SUMIFS('Invoice_141787_2026-06-30'!$F$2:$F$69,'Invoice_141787_2026-06-30'!$J$2:$J$69,$A73,'Invoice_141787_2026-06-30'!$T$2:$T$69,$B73)</f>
        <v>100</v>
      </c>
      <c r="F73" s="9">
        <v>170.5</v>
      </c>
      <c r="G73" s="8">
        <f>IF($F73="","",$F73-$E73)</f>
        <v>70.5</v>
      </c>
    </row>
    <row r="74" spans="1:7" x14ac:dyDescent="0.2">
      <c r="A74" s="12" t="s">
        <v>274</v>
      </c>
      <c r="B74" s="12"/>
      <c r="C74" s="12">
        <f>SUM(C72:C73)</f>
        <v>2</v>
      </c>
      <c r="D74" s="12">
        <f>SUM(D72:D73)</f>
        <v>2</v>
      </c>
      <c r="E74" s="13">
        <f>SUM(E72:E73)</f>
        <v>115</v>
      </c>
      <c r="F74" s="13">
        <f>SUM(F72:F73)</f>
        <v>170.5</v>
      </c>
      <c r="G74" s="13">
        <f>SUM(G72:G73)</f>
        <v>55.5</v>
      </c>
    </row>
    <row r="75" spans="1:7" x14ac:dyDescent="0.2">
      <c r="E75" s="8"/>
      <c r="F75" s="9"/>
      <c r="G75" s="8"/>
    </row>
    <row r="76" spans="1:7" x14ac:dyDescent="0.2">
      <c r="A76" t="s">
        <v>70</v>
      </c>
      <c r="B76" t="s">
        <v>221</v>
      </c>
      <c r="C76">
        <v>1</v>
      </c>
      <c r="D76">
        <v>1</v>
      </c>
      <c r="E76" s="8">
        <f>SUMIFS('Invoice_141787_2026-06-30'!$F$2:$F$69,'Invoice_141787_2026-06-30'!$J$2:$J$69,$A76,'Invoice_141787_2026-06-30'!$T$2:$T$69,$B76)</f>
        <v>15</v>
      </c>
      <c r="F76" s="9">
        <v>0</v>
      </c>
      <c r="G76" s="8">
        <f>IF($F76="","",$F76-$E76)</f>
        <v>-15</v>
      </c>
    </row>
    <row r="77" spans="1:7" x14ac:dyDescent="0.2">
      <c r="A77" t="s">
        <v>70</v>
      </c>
      <c r="B77" t="s">
        <v>58</v>
      </c>
      <c r="C77">
        <v>1</v>
      </c>
      <c r="D77">
        <v>1</v>
      </c>
      <c r="E77" s="8">
        <f>SUMIFS('Invoice_141787_2026-06-30'!$F$2:$F$69,'Invoice_141787_2026-06-30'!$J$2:$J$69,$A77,'Invoice_141787_2026-06-30'!$T$2:$T$69,$B77)</f>
        <v>87</v>
      </c>
      <c r="F77" s="9">
        <v>132</v>
      </c>
      <c r="G77" s="8">
        <f>IF($F77="","",$F77-$E77)</f>
        <v>45</v>
      </c>
    </row>
    <row r="78" spans="1:7" x14ac:dyDescent="0.2">
      <c r="A78" s="12" t="s">
        <v>275</v>
      </c>
      <c r="B78" s="12"/>
      <c r="C78" s="12">
        <f>SUM(C76:C77)</f>
        <v>2</v>
      </c>
      <c r="D78" s="12">
        <f>SUM(D76:D77)</f>
        <v>2</v>
      </c>
      <c r="E78" s="13">
        <f>SUM(E76:E77)</f>
        <v>102</v>
      </c>
      <c r="F78" s="13">
        <f>SUM(F76:F77)</f>
        <v>132</v>
      </c>
      <c r="G78" s="13">
        <f>SUM(G76:G77)</f>
        <v>30</v>
      </c>
    </row>
    <row r="79" spans="1:7" x14ac:dyDescent="0.2">
      <c r="E79" s="8"/>
      <c r="F79" s="9"/>
      <c r="G79" s="8"/>
    </row>
    <row r="80" spans="1:7" x14ac:dyDescent="0.2">
      <c r="A80" t="s">
        <v>106</v>
      </c>
      <c r="B80" t="s">
        <v>114</v>
      </c>
      <c r="C80">
        <v>1</v>
      </c>
      <c r="D80">
        <v>1</v>
      </c>
      <c r="E80" s="8">
        <f>SUMIFS('Invoice_141787_2026-06-30'!$F$2:$F$69,'Invoice_141787_2026-06-30'!$J$2:$J$69,$A80,'Invoice_141787_2026-06-30'!$T$2:$T$69,$B80)</f>
        <v>5</v>
      </c>
      <c r="F80" s="9">
        <v>0</v>
      </c>
      <c r="G80" s="8">
        <f>IF($F80="","",$F80-$E80)</f>
        <v>-5</v>
      </c>
    </row>
    <row r="81" spans="1:8" x14ac:dyDescent="0.2">
      <c r="A81" t="s">
        <v>106</v>
      </c>
      <c r="B81" t="s">
        <v>58</v>
      </c>
      <c r="C81">
        <v>1</v>
      </c>
      <c r="D81">
        <v>1</v>
      </c>
      <c r="E81" s="8">
        <f>SUMIFS('Invoice_141787_2026-06-30'!$F$2:$F$69,'Invoice_141787_2026-06-30'!$J$2:$J$69,$A81,'Invoice_141787_2026-06-30'!$T$2:$T$69,$B81)</f>
        <v>87</v>
      </c>
      <c r="F81" s="9">
        <v>132</v>
      </c>
      <c r="G81" s="8">
        <f>IF($F81="","",$F81-$E81)</f>
        <v>45</v>
      </c>
    </row>
    <row r="82" spans="1:8" x14ac:dyDescent="0.2">
      <c r="A82" s="12" t="s">
        <v>276</v>
      </c>
      <c r="B82" s="12"/>
      <c r="C82" s="12">
        <f>SUM(C80:C81)</f>
        <v>2</v>
      </c>
      <c r="D82" s="12">
        <f>SUM(D80:D81)</f>
        <v>2</v>
      </c>
      <c r="E82" s="13">
        <f>SUM(E80:E81)</f>
        <v>92</v>
      </c>
      <c r="F82" s="13">
        <f>SUM(F80:F81)</f>
        <v>132</v>
      </c>
      <c r="G82" s="13">
        <f>SUM(G80:G81)</f>
        <v>40</v>
      </c>
    </row>
    <row r="83" spans="1:8" x14ac:dyDescent="0.2">
      <c r="E83" s="8"/>
      <c r="F83" s="9"/>
      <c r="G83" s="8"/>
    </row>
    <row r="84" spans="1:8" x14ac:dyDescent="0.2">
      <c r="A84" t="s">
        <v>154</v>
      </c>
      <c r="B84" t="s">
        <v>45</v>
      </c>
      <c r="C84">
        <v>1</v>
      </c>
      <c r="D84">
        <v>1</v>
      </c>
      <c r="E84" s="8">
        <f>SUMIFS('Invoice_141787_2026-06-30'!$F$2:$F$69,'Invoice_141787_2026-06-30'!$J$2:$J$69,$A84,'Invoice_141787_2026-06-30'!$T$2:$T$69,$B84)</f>
        <v>6</v>
      </c>
      <c r="F84" s="9">
        <v>15</v>
      </c>
      <c r="G84" s="8">
        <f>IF($F84="","",$F84-$E84)</f>
        <v>9</v>
      </c>
    </row>
    <row r="85" spans="1:8" x14ac:dyDescent="0.2">
      <c r="A85" t="s">
        <v>154</v>
      </c>
      <c r="B85" t="s">
        <v>221</v>
      </c>
      <c r="C85">
        <v>1</v>
      </c>
      <c r="D85">
        <v>1</v>
      </c>
      <c r="E85" s="8">
        <f>SUMIFS('Invoice_141787_2026-06-30'!$F$2:$F$69,'Invoice_141787_2026-06-30'!$J$2:$J$69,$A85,'Invoice_141787_2026-06-30'!$T$2:$T$69,$B85)</f>
        <v>15</v>
      </c>
      <c r="F85" s="9">
        <v>0</v>
      </c>
      <c r="G85" s="8">
        <f>IF($F85="","",$F85-$E85)</f>
        <v>-15</v>
      </c>
    </row>
    <row r="86" spans="1:8" x14ac:dyDescent="0.2">
      <c r="A86" t="s">
        <v>154</v>
      </c>
      <c r="B86" t="s">
        <v>80</v>
      </c>
      <c r="C86">
        <v>1</v>
      </c>
      <c r="D86">
        <v>1</v>
      </c>
      <c r="E86" s="8">
        <f>SUMIFS('Invoice_141787_2026-06-30'!$F$2:$F$69,'Invoice_141787_2026-06-30'!$J$2:$J$69,$A86,'Invoice_141787_2026-06-30'!$T$2:$T$69,$B86)</f>
        <v>100</v>
      </c>
      <c r="F86" s="9">
        <v>190</v>
      </c>
      <c r="G86" s="8">
        <f>IF($F86="","",$F86-$E86)</f>
        <v>90</v>
      </c>
    </row>
    <row r="87" spans="1:8" x14ac:dyDescent="0.2">
      <c r="A87" s="12" t="s">
        <v>277</v>
      </c>
      <c r="B87" s="12"/>
      <c r="C87" s="12">
        <f>SUM(C84:C86)</f>
        <v>3</v>
      </c>
      <c r="D87" s="12">
        <f>SUM(D84:D86)</f>
        <v>3</v>
      </c>
      <c r="E87" s="13">
        <f>SUM(E84:E86)</f>
        <v>121</v>
      </c>
      <c r="F87" s="13">
        <f>SUM(F84:F86)</f>
        <v>205</v>
      </c>
      <c r="G87" s="13">
        <f>SUM(G84:G86)</f>
        <v>84</v>
      </c>
    </row>
    <row r="88" spans="1:8" x14ac:dyDescent="0.2">
      <c r="E88" s="8"/>
      <c r="F88" s="9"/>
      <c r="G88" s="8"/>
    </row>
    <row r="89" spans="1:8" x14ac:dyDescent="0.2">
      <c r="A89" t="s">
        <v>62</v>
      </c>
      <c r="B89" t="s">
        <v>221</v>
      </c>
      <c r="C89">
        <v>1</v>
      </c>
      <c r="D89">
        <v>1</v>
      </c>
      <c r="E89" s="8">
        <f>SUMIFS('Invoice_141787_2026-06-30'!$F$2:$F$69,'Invoice_141787_2026-06-30'!$J$2:$J$69,$A89,'Invoice_141787_2026-06-30'!$T$2:$T$69,$B89)</f>
        <v>15</v>
      </c>
      <c r="F89" s="9">
        <v>0</v>
      </c>
      <c r="G89" s="8">
        <f>IF($F89="","",$F89-$E89)</f>
        <v>-15</v>
      </c>
      <c r="H89" t="s">
        <v>298</v>
      </c>
    </row>
    <row r="90" spans="1:8" x14ac:dyDescent="0.2">
      <c r="A90" t="s">
        <v>62</v>
      </c>
      <c r="B90" t="s">
        <v>66</v>
      </c>
      <c r="C90">
        <v>1</v>
      </c>
      <c r="D90">
        <v>1</v>
      </c>
      <c r="E90" s="8">
        <f>SUMIFS('Invoice_141787_2026-06-30'!$F$2:$F$69,'Invoice_141787_2026-06-30'!$J$2:$J$69,$A90,'Invoice_141787_2026-06-30'!$T$2:$T$69,$B90)</f>
        <v>95</v>
      </c>
      <c r="F90" s="9">
        <v>150</v>
      </c>
      <c r="G90" s="8">
        <f>IF($F90="","",$F90-$E90)</f>
        <v>55</v>
      </c>
    </row>
    <row r="91" spans="1:8" x14ac:dyDescent="0.2">
      <c r="A91" s="12" t="s">
        <v>278</v>
      </c>
      <c r="B91" s="12"/>
      <c r="C91" s="12">
        <f>SUM(C89:C90)</f>
        <v>2</v>
      </c>
      <c r="D91" s="12">
        <f>SUM(D89:D90)</f>
        <v>2</v>
      </c>
      <c r="E91" s="13">
        <f>SUM(E89:E90)</f>
        <v>110</v>
      </c>
      <c r="F91" s="13">
        <f>SUM(F89:F90)</f>
        <v>150</v>
      </c>
      <c r="G91" s="13">
        <f>SUM(G89:G90)</f>
        <v>40</v>
      </c>
    </row>
    <row r="92" spans="1:8" x14ac:dyDescent="0.2">
      <c r="E92" s="8"/>
      <c r="F92" s="9"/>
      <c r="G92" s="8"/>
    </row>
    <row r="93" spans="1:8" x14ac:dyDescent="0.2">
      <c r="A93" t="s">
        <v>76</v>
      </c>
      <c r="B93" t="s">
        <v>221</v>
      </c>
      <c r="C93">
        <v>1</v>
      </c>
      <c r="D93">
        <v>1</v>
      </c>
      <c r="E93" s="8">
        <f>SUMIFS('Invoice_141787_2026-06-30'!$F$2:$F$69,'Invoice_141787_2026-06-30'!$J$2:$J$69,$A93,'Invoice_141787_2026-06-30'!$T$2:$T$69,$B93)</f>
        <v>15</v>
      </c>
      <c r="F93" s="9">
        <v>0</v>
      </c>
      <c r="G93" s="8">
        <f>IF($F93="","",$F93-$E93)</f>
        <v>-15</v>
      </c>
    </row>
    <row r="94" spans="1:8" x14ac:dyDescent="0.2">
      <c r="A94" t="s">
        <v>76</v>
      </c>
      <c r="B94" t="s">
        <v>80</v>
      </c>
      <c r="C94">
        <v>1</v>
      </c>
      <c r="D94">
        <v>1</v>
      </c>
      <c r="E94" s="8">
        <f>SUMIFS('Invoice_141787_2026-06-30'!$F$2:$F$69,'Invoice_141787_2026-06-30'!$J$2:$J$69,$A94,'Invoice_141787_2026-06-30'!$T$2:$T$69,$B94)</f>
        <v>100</v>
      </c>
      <c r="F94" s="9">
        <v>132</v>
      </c>
      <c r="G94" s="8">
        <f>IF($F94="","",$F94-$E94)</f>
        <v>32</v>
      </c>
    </row>
    <row r="95" spans="1:8" x14ac:dyDescent="0.2">
      <c r="A95" s="12" t="s">
        <v>279</v>
      </c>
      <c r="B95" s="12"/>
      <c r="C95" s="12">
        <f>SUM(C93:C94)</f>
        <v>2</v>
      </c>
      <c r="D95" s="12">
        <f>SUM(D93:D94)</f>
        <v>2</v>
      </c>
      <c r="E95" s="13">
        <f>SUM(E93:E94)</f>
        <v>115</v>
      </c>
      <c r="F95" s="13">
        <f>SUM(F93:F94)</f>
        <v>132</v>
      </c>
      <c r="G95" s="13">
        <f>SUM(G93:G94)</f>
        <v>17</v>
      </c>
    </row>
    <row r="96" spans="1:8" x14ac:dyDescent="0.2">
      <c r="E96" s="8"/>
      <c r="F96" s="9"/>
      <c r="G96" s="8"/>
    </row>
    <row r="97" spans="1:8" x14ac:dyDescent="0.2">
      <c r="A97" t="s">
        <v>94</v>
      </c>
      <c r="B97" t="s">
        <v>221</v>
      </c>
      <c r="C97">
        <v>1</v>
      </c>
      <c r="D97">
        <v>1</v>
      </c>
      <c r="E97" s="8">
        <f>SUMIFS('Invoice_141787_2026-06-30'!$F$2:$F$69,'Invoice_141787_2026-06-30'!$J$2:$J$69,$A97,'Invoice_141787_2026-06-30'!$T$2:$T$69,$B97)</f>
        <v>15</v>
      </c>
      <c r="F97" s="9">
        <v>0</v>
      </c>
      <c r="G97" s="8">
        <f>IF($F97="","",$F97-$E97)</f>
        <v>-15</v>
      </c>
      <c r="H97" t="s">
        <v>300</v>
      </c>
    </row>
    <row r="98" spans="1:8" x14ac:dyDescent="0.2">
      <c r="A98" t="s">
        <v>94</v>
      </c>
      <c r="B98" t="s">
        <v>66</v>
      </c>
      <c r="C98">
        <v>1</v>
      </c>
      <c r="D98">
        <v>1</v>
      </c>
      <c r="E98" s="8">
        <f>SUMIFS('Invoice_141787_2026-06-30'!$F$2:$F$69,'Invoice_141787_2026-06-30'!$J$2:$J$69,$A98,'Invoice_141787_2026-06-30'!$T$2:$T$69,$B98)</f>
        <v>95</v>
      </c>
      <c r="F98" s="9">
        <v>0</v>
      </c>
      <c r="G98" s="8">
        <f>IF($F98="","",$F98-$E98)</f>
        <v>-95</v>
      </c>
      <c r="H98" t="s">
        <v>301</v>
      </c>
    </row>
    <row r="99" spans="1:8" x14ac:dyDescent="0.2">
      <c r="A99" s="12" t="s">
        <v>280</v>
      </c>
      <c r="B99" s="12"/>
      <c r="C99" s="12">
        <f>SUM(C97:C98)</f>
        <v>2</v>
      </c>
      <c r="D99" s="12">
        <f>SUM(D97:D98)</f>
        <v>2</v>
      </c>
      <c r="E99" s="13">
        <f>SUM(E97:E98)</f>
        <v>110</v>
      </c>
      <c r="F99" s="13">
        <f>SUM(F97:F98)</f>
        <v>0</v>
      </c>
      <c r="G99" s="13">
        <f>SUM(G97:G98)</f>
        <v>-110</v>
      </c>
    </row>
    <row r="100" spans="1:8" x14ac:dyDescent="0.2">
      <c r="E100" s="8"/>
      <c r="F100" s="9"/>
      <c r="G100" s="8"/>
    </row>
    <row r="101" spans="1:8" x14ac:dyDescent="0.2">
      <c r="A101" t="s">
        <v>214</v>
      </c>
      <c r="B101" t="s">
        <v>217</v>
      </c>
      <c r="C101">
        <v>1</v>
      </c>
      <c r="D101">
        <v>1</v>
      </c>
      <c r="E101" s="8">
        <f>SUMIFS('Invoice_141787_2026-06-30'!$F$2:$F$69,'Invoice_141787_2026-06-30'!$J$2:$J$69,$A101,'Invoice_141787_2026-06-30'!$T$2:$T$69,$B101)</f>
        <v>94.5</v>
      </c>
      <c r="F101" s="9">
        <v>130</v>
      </c>
      <c r="G101" s="8">
        <f>IF($F101="","",$F101-$E101)</f>
        <v>35.5</v>
      </c>
    </row>
    <row r="102" spans="1:8" x14ac:dyDescent="0.2">
      <c r="A102" s="12" t="s">
        <v>281</v>
      </c>
      <c r="B102" s="12"/>
      <c r="C102" s="12">
        <f>SUM(C101:C101)</f>
        <v>1</v>
      </c>
      <c r="D102" s="12">
        <f>SUM(D101:D101)</f>
        <v>1</v>
      </c>
      <c r="E102" s="13">
        <f>SUM(E101:E101)</f>
        <v>94.5</v>
      </c>
      <c r="F102" s="13">
        <f>SUM(F101:F101)</f>
        <v>130</v>
      </c>
      <c r="G102" s="13">
        <f>SUM(G101:G101)</f>
        <v>35.5</v>
      </c>
    </row>
    <row r="103" spans="1:8" x14ac:dyDescent="0.2">
      <c r="E103" s="8"/>
      <c r="F103" s="9"/>
      <c r="G103" s="8"/>
    </row>
    <row r="104" spans="1:8" x14ac:dyDescent="0.2">
      <c r="A104" t="s">
        <v>122</v>
      </c>
      <c r="B104" t="s">
        <v>221</v>
      </c>
      <c r="C104">
        <v>1</v>
      </c>
      <c r="D104">
        <v>1</v>
      </c>
      <c r="E104" s="8">
        <f>SUMIFS('Invoice_141787_2026-06-30'!$F$2:$F$69,'Invoice_141787_2026-06-30'!$J$2:$J$69,$A104,'Invoice_141787_2026-06-30'!$T$2:$T$69,$B104)</f>
        <v>15</v>
      </c>
      <c r="F104" s="9">
        <v>0</v>
      </c>
      <c r="G104" s="8">
        <f>IF($F104="","",$F104-$E104)</f>
        <v>-15</v>
      </c>
    </row>
    <row r="105" spans="1:8" x14ac:dyDescent="0.2">
      <c r="A105" t="s">
        <v>122</v>
      </c>
      <c r="B105" t="s">
        <v>80</v>
      </c>
      <c r="C105">
        <v>1</v>
      </c>
      <c r="D105">
        <v>1</v>
      </c>
      <c r="E105" s="8">
        <f>SUMIFS('Invoice_141787_2026-06-30'!$F$2:$F$69,'Invoice_141787_2026-06-30'!$J$2:$J$69,$A105,'Invoice_141787_2026-06-30'!$T$2:$T$69,$B105)</f>
        <v>100</v>
      </c>
      <c r="F105" s="9">
        <v>170.5</v>
      </c>
      <c r="G105" s="8">
        <f>IF($F105="","",$F105-$E105)</f>
        <v>70.5</v>
      </c>
    </row>
    <row r="106" spans="1:8" x14ac:dyDescent="0.2">
      <c r="A106" s="12" t="s">
        <v>282</v>
      </c>
      <c r="B106" s="12"/>
      <c r="C106" s="12">
        <f>SUM(C104:C105)</f>
        <v>2</v>
      </c>
      <c r="D106" s="12">
        <f>SUM(D104:D105)</f>
        <v>2</v>
      </c>
      <c r="E106" s="13">
        <f>SUM(E104:E105)</f>
        <v>115</v>
      </c>
      <c r="F106" s="13">
        <f>SUM(F104:F105)</f>
        <v>170.5</v>
      </c>
      <c r="G106" s="13">
        <f>SUM(G104:G105)</f>
        <v>55.5</v>
      </c>
    </row>
    <row r="107" spans="1:8" x14ac:dyDescent="0.2">
      <c r="E107" s="8"/>
      <c r="F107" s="9"/>
      <c r="G107" s="8"/>
    </row>
    <row r="108" spans="1:8" x14ac:dyDescent="0.2">
      <c r="A108" t="s">
        <v>292</v>
      </c>
      <c r="B108" t="s">
        <v>186</v>
      </c>
      <c r="C108">
        <v>1</v>
      </c>
      <c r="D108">
        <v>1</v>
      </c>
      <c r="E108" s="8">
        <f>SUMIFS('Invoice_141787_2026-06-30'!$F$2:$F$69,'Invoice_141787_2026-06-30'!$J$2:$J$69,$A108,'Invoice_141787_2026-06-30'!$T$2:$T$69,$B108)</f>
        <v>16</v>
      </c>
      <c r="F108" s="9">
        <v>0</v>
      </c>
      <c r="G108" s="8">
        <f>IF($F108="","",$F108-$E108)</f>
        <v>-16</v>
      </c>
      <c r="H108" t="s">
        <v>302</v>
      </c>
    </row>
    <row r="109" spans="1:8" x14ac:dyDescent="0.2">
      <c r="A109" t="s">
        <v>292</v>
      </c>
      <c r="B109" t="s">
        <v>192</v>
      </c>
      <c r="C109">
        <v>1</v>
      </c>
      <c r="D109">
        <v>1</v>
      </c>
      <c r="E109" s="8">
        <f>SUMIFS('Invoice_141787_2026-06-30'!$F$2:$F$69,'Invoice_141787_2026-06-30'!$J$2:$J$69,$A109,'Invoice_141787_2026-06-30'!$T$2:$T$69,$B109)</f>
        <v>171.2</v>
      </c>
      <c r="F109" s="9">
        <v>0</v>
      </c>
      <c r="G109" s="8">
        <f>IF($F109="","",$F109-$E109)</f>
        <v>-171.2</v>
      </c>
    </row>
    <row r="110" spans="1:8" x14ac:dyDescent="0.2">
      <c r="A110" s="12" t="s">
        <v>295</v>
      </c>
      <c r="B110" s="12"/>
      <c r="C110" s="12">
        <f>SUM(C108:C109)</f>
        <v>2</v>
      </c>
      <c r="D110" s="12">
        <f>SUM(D108:D109)</f>
        <v>2</v>
      </c>
      <c r="E110" s="13">
        <f>SUM(E108:E109)</f>
        <v>187.2</v>
      </c>
      <c r="F110" s="13">
        <f>SUM(F108:F109)</f>
        <v>0</v>
      </c>
      <c r="G110" s="13">
        <f>SUM(G108:G109)</f>
        <v>-187.2</v>
      </c>
    </row>
    <row r="111" spans="1:8" x14ac:dyDescent="0.2">
      <c r="E111" s="8"/>
      <c r="F111" s="9"/>
      <c r="G111" s="8"/>
    </row>
    <row r="112" spans="1:8" x14ac:dyDescent="0.2">
      <c r="A112" t="s">
        <v>83</v>
      </c>
      <c r="B112" t="s">
        <v>221</v>
      </c>
      <c r="C112">
        <v>1</v>
      </c>
      <c r="D112">
        <v>1</v>
      </c>
      <c r="E112" s="8">
        <f>SUMIFS('Invoice_141787_2026-06-30'!$F$2:$F$69,'Invoice_141787_2026-06-30'!$J$2:$J$69,$A112,'Invoice_141787_2026-06-30'!$T$2:$T$69,$B112)</f>
        <v>15</v>
      </c>
      <c r="F112" s="9">
        <v>0</v>
      </c>
      <c r="G112" s="8">
        <f>IF($F112="","",$F112-$E112)</f>
        <v>-15</v>
      </c>
    </row>
    <row r="113" spans="1:7" x14ac:dyDescent="0.2">
      <c r="A113" t="s">
        <v>83</v>
      </c>
      <c r="B113" t="s">
        <v>80</v>
      </c>
      <c r="C113">
        <v>1</v>
      </c>
      <c r="D113">
        <v>1</v>
      </c>
      <c r="E113" s="8">
        <f>SUMIFS('Invoice_141787_2026-06-30'!$F$2:$F$69,'Invoice_141787_2026-06-30'!$J$2:$J$69,$A113,'Invoice_141787_2026-06-30'!$T$2:$T$69,$B113)</f>
        <v>100</v>
      </c>
      <c r="F113" s="9">
        <v>185.9</v>
      </c>
      <c r="G113" s="8">
        <f>IF($F113="","",$F113-$E113)</f>
        <v>85.9</v>
      </c>
    </row>
    <row r="114" spans="1:7" x14ac:dyDescent="0.2">
      <c r="A114" s="12" t="s">
        <v>283</v>
      </c>
      <c r="B114" s="12"/>
      <c r="C114" s="12">
        <f>SUM(C112:C113)</f>
        <v>2</v>
      </c>
      <c r="D114" s="12">
        <f>SUM(D112:D113)</f>
        <v>2</v>
      </c>
      <c r="E114" s="13">
        <f>SUM(E112:E113)</f>
        <v>115</v>
      </c>
      <c r="F114" s="13">
        <f>SUM(F112:F113)</f>
        <v>185.9</v>
      </c>
      <c r="G114" s="13">
        <f>SUM(G112:G113)</f>
        <v>70.900000000000006</v>
      </c>
    </row>
    <row r="115" spans="1:7" x14ac:dyDescent="0.2">
      <c r="E115" s="8"/>
      <c r="F115" s="9"/>
      <c r="G115" s="8"/>
    </row>
    <row r="116" spans="1:7" x14ac:dyDescent="0.2">
      <c r="E116" s="8"/>
      <c r="F116" s="8"/>
      <c r="G116" s="8"/>
    </row>
    <row r="117" spans="1:7" x14ac:dyDescent="0.2">
      <c r="A117" s="10" t="s">
        <v>291</v>
      </c>
      <c r="B117" s="10"/>
      <c r="C117" s="10"/>
      <c r="D117" s="10"/>
      <c r="E117" s="11">
        <f>SUM('Invoice_141787_2026-06-30'!F2:F69)</f>
        <v>2939.1299999999997</v>
      </c>
      <c r="F117" s="11">
        <f>SUMIF($A$5:$A$115,"&lt;&gt;*– Total",F$5:F$115)</f>
        <v>4829.9599999999991</v>
      </c>
      <c r="G117" s="11">
        <f>IF(F117=0,"",F117-E117)</f>
        <v>1890.8299999999995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Invoice_141787_2026-06-30</vt:lpstr>
      <vt:lpstr>By 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Blackman</cp:lastModifiedBy>
  <dcterms:created xsi:type="dcterms:W3CDTF">2026-07-27T01:46:57Z</dcterms:created>
  <dcterms:modified xsi:type="dcterms:W3CDTF">2026-09-06T15:02:44Z</dcterms:modified>
</cp:coreProperties>
</file>