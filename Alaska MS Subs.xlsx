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hael/Documents/"/>
    </mc:Choice>
  </mc:AlternateContent>
  <xr:revisionPtr revIDLastSave="0" documentId="13_ncr:1_{FE7D073B-8071-F642-BB3F-E81688B21114}" xr6:coauthVersionLast="47" xr6:coauthVersionMax="47" xr10:uidLastSave="{00000000-0000-0000-0000-000000000000}"/>
  <bookViews>
    <workbookView xWindow="3400" yWindow="3240" windowWidth="33180" windowHeight="20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I17" i="1"/>
  <c r="E17" i="1"/>
  <c r="I16" i="1"/>
  <c r="E16" i="1"/>
  <c r="I15" i="1"/>
  <c r="E15" i="1"/>
  <c r="I14" i="1"/>
  <c r="E14" i="1"/>
  <c r="I13" i="1"/>
  <c r="E13" i="1"/>
  <c r="B8" i="1"/>
  <c r="B21" i="1" s="1"/>
  <c r="I6" i="1"/>
  <c r="E6" i="1"/>
  <c r="I5" i="1"/>
  <c r="E5" i="1"/>
  <c r="I4" i="1"/>
  <c r="E4" i="1"/>
  <c r="I3" i="1"/>
  <c r="E3" i="1"/>
  <c r="E8" i="1" s="1"/>
  <c r="K17" i="1" l="1"/>
  <c r="J17" i="1"/>
  <c r="L17" i="1" s="1"/>
  <c r="K16" i="1"/>
  <c r="J16" i="1"/>
  <c r="L16" i="1" s="1"/>
  <c r="J15" i="1"/>
  <c r="L15" i="1" s="1"/>
  <c r="K15" i="1"/>
  <c r="M15" i="1" s="1"/>
  <c r="O15" i="1" s="1"/>
  <c r="K14" i="1"/>
  <c r="J14" i="1"/>
  <c r="L14" i="1" s="1"/>
  <c r="K13" i="1"/>
  <c r="J13" i="1"/>
  <c r="I19" i="1"/>
  <c r="E19" i="1"/>
  <c r="E21" i="1" s="1"/>
  <c r="J6" i="1"/>
  <c r="L6" i="1" s="1"/>
  <c r="K6" i="1"/>
  <c r="M6" i="1" s="1"/>
  <c r="O6" i="1" s="1"/>
  <c r="K5" i="1"/>
  <c r="J5" i="1"/>
  <c r="L5" i="1" s="1"/>
  <c r="J4" i="1"/>
  <c r="L4" i="1" s="1"/>
  <c r="K4" i="1"/>
  <c r="M4" i="1" s="1"/>
  <c r="O4" i="1" s="1"/>
  <c r="J3" i="1"/>
  <c r="K3" i="1"/>
  <c r="I8" i="1"/>
  <c r="I21" i="1" s="1"/>
  <c r="K19" i="1" l="1"/>
  <c r="L13" i="1"/>
  <c r="J19" i="1"/>
  <c r="L3" i="1"/>
  <c r="L8" i="1" s="1"/>
  <c r="J8" i="1"/>
  <c r="J21" i="1" s="1"/>
  <c r="M3" i="1"/>
  <c r="K8" i="1"/>
  <c r="K21" i="1" s="1"/>
  <c r="M5" i="1"/>
  <c r="O5" i="1" s="1"/>
  <c r="M17" i="1"/>
  <c r="O17" i="1" s="1"/>
  <c r="M16" i="1"/>
  <c r="O16" i="1" s="1"/>
  <c r="M14" i="1"/>
  <c r="O14" i="1" s="1"/>
  <c r="O3" i="1" l="1"/>
  <c r="O8" i="1" s="1"/>
  <c r="M8" i="1"/>
  <c r="L19" i="1"/>
  <c r="L21" i="1" s="1"/>
  <c r="M13" i="1"/>
  <c r="M19" i="1" l="1"/>
  <c r="M21" i="1" s="1"/>
  <c r="O13" i="1"/>
  <c r="O19" i="1" s="1"/>
  <c r="O21" i="1" s="1"/>
</calcChain>
</file>

<file path=xl/sharedStrings.xml><?xml version="1.0" encoding="utf-8"?>
<sst xmlns="http://schemas.openxmlformats.org/spreadsheetml/2006/main" count="45" uniqueCount="30">
  <si>
    <t>Cost per</t>
  </si>
  <si>
    <t>Existing</t>
  </si>
  <si>
    <t>Split between Monthly and Annual</t>
  </si>
  <si>
    <t>Proposed</t>
  </si>
  <si>
    <t>Product / License</t>
  </si>
  <si>
    <t>Total Active Seats</t>
  </si>
  <si>
    <t>Monthly Rate</t>
  </si>
  <si>
    <t>Annual Rate</t>
  </si>
  <si>
    <t>Total</t>
  </si>
  <si>
    <t>% to be Annual</t>
  </si>
  <si>
    <t>New Ann</t>
  </si>
  <si>
    <t>New Mth</t>
  </si>
  <si>
    <t>Annual</t>
  </si>
  <si>
    <t>Monthly</t>
  </si>
  <si>
    <t>Combined</t>
  </si>
  <si>
    <t>Saving</t>
  </si>
  <si>
    <t>Microsoft Planner and Project Plan 3</t>
  </si>
  <si>
    <t>Microsoft Defender for Office 365 (Plan 2)</t>
  </si>
  <si>
    <t>Microsoft Office 365 E3 (no Teams)</t>
  </si>
  <si>
    <t>Microsoft Teams Essentials</t>
  </si>
  <si>
    <t>Optional</t>
  </si>
  <si>
    <t>Current</t>
  </si>
  <si>
    <t>Toital</t>
  </si>
  <si>
    <t>Microsoft 365 Business Standard</t>
  </si>
  <si>
    <t>Microsoft Exchange Online Archiving</t>
  </si>
  <si>
    <t>Microsoft Planner Plan 1</t>
  </si>
  <si>
    <t>Microsoft Office 365 Extra File Storage (GB)</t>
  </si>
  <si>
    <t>Microsoft Exchange Online (Plan 2)*</t>
  </si>
  <si>
    <t>No of Seats to be Ann</t>
  </si>
  <si>
    <t>Current Licensing -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</si>
</sst>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&quot;%&quot;"/>
  </numFmts>
  <fonts count="4" x14ac:knownFonts="1">
    <font>
      <sz val="10"/>
      <color rgb="FF000000"/>
      <name val="Arial"/>
      <scheme val="minor"/>
    </font>
    <font>
      <b/>
      <sz val="10"/>
      <color rgb="FF1F4776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F4F8"/>
        <bgColor rgb="FFEFF4F8"/>
      </patternFill>
    </fill>
    <fill>
      <patternFill patternType="solid">
        <fgColor rgb="FFD0DEF1"/>
        <bgColor rgb="FFD0DEF1"/>
      </patternFill>
    </fill>
    <fill>
      <patternFill patternType="solid">
        <fgColor theme="4" tint="0.39997558519241921"/>
        <bgColor rgb="FF2B4B7D"/>
      </patternFill>
    </fill>
    <fill>
      <patternFill patternType="solid">
        <fgColor theme="4" tint="0.39997558519241921"/>
        <bgColor rgb="FFD7E2F8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/>
      <top style="thin">
        <color rgb="FF1F4776"/>
      </top>
      <bottom style="double">
        <color rgb="FF1F477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"/>
  <sheetViews>
    <sheetView tabSelected="1" zoomScale="180" zoomScaleNormal="180" workbookViewId="0">
      <pane ySplit="2" topLeftCell="A3" activePane="bottomLeft" state="frozen"/>
      <selection pane="bottomLeft" activeCell="A2" sqref="A2"/>
    </sheetView>
  </sheetViews>
  <sheetFormatPr baseColWidth="10" defaultColWidth="12.6640625" defaultRowHeight="15.75" customHeight="1" x14ac:dyDescent="0.15"/>
  <cols>
    <col min="1" max="1" width="40.1640625" customWidth="1"/>
    <col min="2" max="2" width="21.1640625" customWidth="1"/>
    <col min="3" max="3" width="11.1640625" customWidth="1"/>
    <col min="4" max="4" width="10.1640625" customWidth="1"/>
    <col min="5" max="5" width="12.6640625" customWidth="1"/>
    <col min="6" max="6" width="3.1640625" customWidth="1"/>
    <col min="7" max="7" width="13.1640625" customWidth="1"/>
    <col min="8" max="8" width="8.83203125" customWidth="1"/>
    <col min="9" max="10" width="7.6640625" customWidth="1"/>
    <col min="11" max="11" width="9.5" customWidth="1"/>
    <col min="12" max="12" width="10.83203125" customWidth="1"/>
    <col min="13" max="13" width="10" customWidth="1"/>
    <col min="14" max="14" width="3.1640625" customWidth="1"/>
    <col min="15" max="15" width="9.6640625" customWidth="1"/>
  </cols>
  <sheetData>
    <row r="1" spans="1:15" ht="22.5" customHeight="1" x14ac:dyDescent="0.15">
      <c r="A1" s="15" t="s">
        <v>29</v>
      </c>
      <c r="B1" s="15"/>
      <c r="C1" s="15" t="s">
        <v>0</v>
      </c>
      <c r="D1" s="15"/>
      <c r="E1" s="14" t="s">
        <v>1</v>
      </c>
      <c r="F1" s="14"/>
      <c r="G1" s="15" t="s">
        <v>2</v>
      </c>
      <c r="H1" s="15"/>
      <c r="I1" s="15"/>
      <c r="J1" s="15"/>
      <c r="K1" s="15" t="s">
        <v>3</v>
      </c>
      <c r="L1" s="15"/>
      <c r="M1" s="15"/>
      <c r="N1" s="14"/>
      <c r="O1" s="14"/>
    </row>
    <row r="2" spans="1:15" ht="27" customHeight="1" x14ac:dyDescent="0.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 t="s">
        <v>28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/>
      <c r="O2" s="1" t="s">
        <v>15</v>
      </c>
    </row>
    <row r="3" spans="1:15" ht="14" x14ac:dyDescent="0.15">
      <c r="A3" s="2" t="s">
        <v>16</v>
      </c>
      <c r="B3" s="3">
        <v>53</v>
      </c>
      <c r="C3" s="4">
        <v>68.2</v>
      </c>
      <c r="D3" s="4">
        <v>582</v>
      </c>
      <c r="E3" s="4">
        <f t="shared" ref="E3:E6" si="0">B3*C3*12</f>
        <v>43375.200000000004</v>
      </c>
      <c r="F3" s="2"/>
      <c r="G3" s="5">
        <v>75</v>
      </c>
      <c r="H3" s="3"/>
      <c r="I3" s="3">
        <f t="shared" ref="I3:I6" si="1">IF(ISNUMBER(H3), H3, ROUND(B3*(G3/100), 0))</f>
        <v>40</v>
      </c>
      <c r="J3" s="3">
        <f t="shared" ref="J3:J6" si="2">B3-I3</f>
        <v>13</v>
      </c>
      <c r="K3" s="4">
        <f t="shared" ref="K3:K6" si="3">I3*D3</f>
        <v>23280</v>
      </c>
      <c r="L3" s="4">
        <f t="shared" ref="L3:L6" si="4">J3*C3*12</f>
        <v>10639.2</v>
      </c>
      <c r="M3" s="4">
        <f t="shared" ref="M3:M6" si="5">K3+L3</f>
        <v>33919.199999999997</v>
      </c>
      <c r="N3" s="2"/>
      <c r="O3" s="4">
        <f t="shared" ref="O3:O6" si="6">E3-M3</f>
        <v>9456.0000000000073</v>
      </c>
    </row>
    <row r="4" spans="1:15" ht="14" x14ac:dyDescent="0.15">
      <c r="A4" s="2" t="s">
        <v>17</v>
      </c>
      <c r="B4" s="3">
        <v>91</v>
      </c>
      <c r="C4" s="4">
        <v>9.7200000000000006</v>
      </c>
      <c r="D4" s="4">
        <v>97.2</v>
      </c>
      <c r="E4" s="4">
        <f t="shared" si="0"/>
        <v>10614.240000000002</v>
      </c>
      <c r="F4" s="2"/>
      <c r="G4" s="5">
        <v>50</v>
      </c>
      <c r="H4" s="3"/>
      <c r="I4" s="3">
        <f t="shared" si="1"/>
        <v>46</v>
      </c>
      <c r="J4" s="3">
        <f t="shared" si="2"/>
        <v>45</v>
      </c>
      <c r="K4" s="4">
        <f t="shared" si="3"/>
        <v>4471.2</v>
      </c>
      <c r="L4" s="4">
        <f t="shared" si="4"/>
        <v>5248.8</v>
      </c>
      <c r="M4" s="4">
        <f t="shared" si="5"/>
        <v>9720</v>
      </c>
      <c r="N4" s="2"/>
      <c r="O4" s="4">
        <f t="shared" si="6"/>
        <v>894.2400000000016</v>
      </c>
    </row>
    <row r="5" spans="1:15" ht="14" x14ac:dyDescent="0.15">
      <c r="A5" s="2" t="s">
        <v>18</v>
      </c>
      <c r="B5" s="3">
        <v>17</v>
      </c>
      <c r="C5" s="4">
        <v>44.04</v>
      </c>
      <c r="D5" s="4">
        <v>367.2</v>
      </c>
      <c r="E5" s="4">
        <f t="shared" si="0"/>
        <v>8984.16</v>
      </c>
      <c r="F5" s="2"/>
      <c r="G5" s="5">
        <v>50</v>
      </c>
      <c r="H5" s="3"/>
      <c r="I5" s="3">
        <f t="shared" si="1"/>
        <v>9</v>
      </c>
      <c r="J5" s="3">
        <f t="shared" si="2"/>
        <v>8</v>
      </c>
      <c r="K5" s="4">
        <f t="shared" si="3"/>
        <v>3304.7999999999997</v>
      </c>
      <c r="L5" s="4">
        <f t="shared" si="4"/>
        <v>4227.84</v>
      </c>
      <c r="M5" s="4">
        <f t="shared" si="5"/>
        <v>7532.6399999999994</v>
      </c>
      <c r="N5" s="2"/>
      <c r="O5" s="4">
        <f t="shared" si="6"/>
        <v>1451.5200000000004</v>
      </c>
    </row>
    <row r="6" spans="1:15" ht="14" x14ac:dyDescent="0.15">
      <c r="A6" s="2" t="s">
        <v>19</v>
      </c>
      <c r="B6" s="3">
        <v>17</v>
      </c>
      <c r="C6" s="4">
        <v>8.8000000000000007</v>
      </c>
      <c r="D6" s="4">
        <v>78</v>
      </c>
      <c r="E6" s="4">
        <f t="shared" si="0"/>
        <v>1795.2000000000003</v>
      </c>
      <c r="F6" s="2"/>
      <c r="G6" s="5">
        <v>50</v>
      </c>
      <c r="H6" s="3"/>
      <c r="I6" s="3">
        <f t="shared" si="1"/>
        <v>9</v>
      </c>
      <c r="J6" s="3">
        <f t="shared" si="2"/>
        <v>8</v>
      </c>
      <c r="K6" s="4">
        <f t="shared" si="3"/>
        <v>702</v>
      </c>
      <c r="L6" s="4">
        <f t="shared" si="4"/>
        <v>844.80000000000007</v>
      </c>
      <c r="M6" s="4">
        <f t="shared" si="5"/>
        <v>1546.8000000000002</v>
      </c>
      <c r="N6" s="2"/>
      <c r="O6" s="4">
        <f t="shared" si="6"/>
        <v>248.40000000000009</v>
      </c>
    </row>
    <row r="7" spans="1:15" ht="14" x14ac:dyDescent="0.15">
      <c r="A7" s="2"/>
      <c r="B7" s="3"/>
      <c r="C7" s="4"/>
      <c r="D7" s="4"/>
      <c r="E7" s="4"/>
      <c r="F7" s="2"/>
      <c r="G7" s="5"/>
      <c r="H7" s="3"/>
      <c r="I7" s="3"/>
      <c r="J7" s="3"/>
      <c r="K7" s="4"/>
      <c r="L7" s="4"/>
      <c r="M7" s="4"/>
      <c r="N7" s="2"/>
      <c r="O7" s="4"/>
    </row>
    <row r="8" spans="1:15" ht="21" customHeight="1" x14ac:dyDescent="0.15">
      <c r="A8" s="6"/>
      <c r="B8" s="7">
        <f>SUM(B3:B6)</f>
        <v>178</v>
      </c>
      <c r="C8" s="8"/>
      <c r="D8" s="8"/>
      <c r="E8" s="8">
        <f>SUM(E3:E6)</f>
        <v>64768.800000000003</v>
      </c>
      <c r="F8" s="6"/>
      <c r="G8" s="9"/>
      <c r="H8" s="7"/>
      <c r="I8" s="7">
        <f t="shared" ref="I8:M8" si="7">SUM(I3:I6)</f>
        <v>104</v>
      </c>
      <c r="J8" s="7">
        <f t="shared" si="7"/>
        <v>74</v>
      </c>
      <c r="K8" s="8">
        <f t="shared" si="7"/>
        <v>31758</v>
      </c>
      <c r="L8" s="8">
        <f t="shared" si="7"/>
        <v>20960.64</v>
      </c>
      <c r="M8" s="8">
        <f t="shared" si="7"/>
        <v>52718.64</v>
      </c>
      <c r="N8" s="6"/>
      <c r="O8" s="8">
        <f>SUM(O3:O6)</f>
        <v>12050.160000000009</v>
      </c>
    </row>
    <row r="9" spans="1:15" ht="14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4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2.5" customHeight="1" x14ac:dyDescent="0.2">
      <c r="A11" s="15" t="s">
        <v>20</v>
      </c>
      <c r="B11" s="16"/>
      <c r="C11" s="15" t="s">
        <v>0</v>
      </c>
      <c r="D11" s="16"/>
      <c r="E11" s="14" t="s">
        <v>21</v>
      </c>
      <c r="F11" s="14"/>
      <c r="G11" s="15" t="s">
        <v>2</v>
      </c>
      <c r="H11" s="16"/>
      <c r="I11" s="16"/>
      <c r="J11" s="16"/>
      <c r="K11" s="15" t="s">
        <v>3</v>
      </c>
      <c r="L11" s="16"/>
      <c r="M11" s="16"/>
      <c r="N11" s="14"/>
      <c r="O11" s="14"/>
    </row>
    <row r="12" spans="1:15" ht="27" customHeight="1" x14ac:dyDescent="0.15">
      <c r="A12" s="1" t="s">
        <v>4</v>
      </c>
      <c r="B12" s="1" t="s">
        <v>5</v>
      </c>
      <c r="C12" s="1" t="s">
        <v>6</v>
      </c>
      <c r="D12" s="1" t="s">
        <v>7</v>
      </c>
      <c r="E12" s="1" t="s">
        <v>22</v>
      </c>
      <c r="F12" s="1"/>
      <c r="G12" s="1" t="s">
        <v>9</v>
      </c>
      <c r="H12" s="1" t="s">
        <v>28</v>
      </c>
      <c r="I12" s="1" t="s">
        <v>10</v>
      </c>
      <c r="J12" s="1" t="s">
        <v>11</v>
      </c>
      <c r="K12" s="1" t="s">
        <v>12</v>
      </c>
      <c r="L12" s="1" t="s">
        <v>13</v>
      </c>
      <c r="M12" s="1" t="s">
        <v>14</v>
      </c>
      <c r="N12" s="1"/>
      <c r="O12" s="1" t="s">
        <v>15</v>
      </c>
    </row>
    <row r="13" spans="1:15" ht="14" x14ac:dyDescent="0.15">
      <c r="A13" s="2" t="s">
        <v>23</v>
      </c>
      <c r="B13" s="3">
        <v>68</v>
      </c>
      <c r="C13" s="4">
        <v>28.12</v>
      </c>
      <c r="D13" s="4">
        <v>281.2</v>
      </c>
      <c r="E13" s="4">
        <f t="shared" ref="E13:E17" si="8">B13*C13*12</f>
        <v>22945.920000000002</v>
      </c>
      <c r="F13" s="2"/>
      <c r="G13" s="5">
        <v>50</v>
      </c>
      <c r="H13" s="3"/>
      <c r="I13" s="3">
        <f t="shared" ref="I13:I17" si="9">IF(ISNUMBER(H13), H13, ROUND(B13*(G13/100), 0))</f>
        <v>34</v>
      </c>
      <c r="J13" s="3">
        <f t="shared" ref="J13:J17" si="10">B13-I13</f>
        <v>34</v>
      </c>
      <c r="K13" s="4">
        <f t="shared" ref="K13:K17" si="11">I13*D13</f>
        <v>9560.7999999999993</v>
      </c>
      <c r="L13" s="4">
        <f t="shared" ref="L13:L17" si="12">J13*C13*12</f>
        <v>11472.960000000001</v>
      </c>
      <c r="M13" s="4">
        <f t="shared" ref="M13:M17" si="13">K13+L13</f>
        <v>21033.760000000002</v>
      </c>
      <c r="N13" s="2"/>
      <c r="O13" s="4">
        <f t="shared" ref="O13:O17" si="14">E13-M13</f>
        <v>1912.1599999999999</v>
      </c>
    </row>
    <row r="14" spans="1:15" ht="14" x14ac:dyDescent="0.15">
      <c r="A14" s="2" t="s">
        <v>24</v>
      </c>
      <c r="B14" s="3">
        <v>10</v>
      </c>
      <c r="C14" s="4">
        <v>7.88</v>
      </c>
      <c r="D14" s="4">
        <v>78.8</v>
      </c>
      <c r="E14" s="4">
        <f t="shared" si="8"/>
        <v>945.59999999999991</v>
      </c>
      <c r="F14" s="2"/>
      <c r="G14" s="5">
        <v>50</v>
      </c>
      <c r="H14" s="3"/>
      <c r="I14" s="3">
        <f t="shared" si="9"/>
        <v>5</v>
      </c>
      <c r="J14" s="3">
        <f t="shared" si="10"/>
        <v>5</v>
      </c>
      <c r="K14" s="4">
        <f t="shared" si="11"/>
        <v>394</v>
      </c>
      <c r="L14" s="4">
        <f t="shared" si="12"/>
        <v>472.79999999999995</v>
      </c>
      <c r="M14" s="4">
        <f t="shared" si="13"/>
        <v>866.8</v>
      </c>
      <c r="N14" s="2"/>
      <c r="O14" s="4">
        <f t="shared" si="14"/>
        <v>78.799999999999955</v>
      </c>
    </row>
    <row r="15" spans="1:15" ht="14" x14ac:dyDescent="0.15">
      <c r="A15" s="2" t="s">
        <v>25</v>
      </c>
      <c r="B15" s="3">
        <v>1</v>
      </c>
      <c r="C15" s="4">
        <v>20.440000000000001</v>
      </c>
      <c r="D15" s="4">
        <v>204.4</v>
      </c>
      <c r="E15" s="4">
        <f t="shared" si="8"/>
        <v>245.28000000000003</v>
      </c>
      <c r="F15" s="2"/>
      <c r="G15" s="5">
        <v>50</v>
      </c>
      <c r="H15" s="3"/>
      <c r="I15" s="3">
        <f t="shared" si="9"/>
        <v>1</v>
      </c>
      <c r="J15" s="3">
        <f t="shared" si="10"/>
        <v>0</v>
      </c>
      <c r="K15" s="4">
        <f t="shared" si="11"/>
        <v>204.4</v>
      </c>
      <c r="L15" s="4">
        <f t="shared" si="12"/>
        <v>0</v>
      </c>
      <c r="M15" s="4">
        <f t="shared" si="13"/>
        <v>204.4</v>
      </c>
      <c r="N15" s="2"/>
      <c r="O15" s="4">
        <f t="shared" si="14"/>
        <v>40.880000000000024</v>
      </c>
    </row>
    <row r="16" spans="1:15" ht="14" x14ac:dyDescent="0.15">
      <c r="A16" s="2" t="s">
        <v>26</v>
      </c>
      <c r="B16" s="3">
        <v>2000</v>
      </c>
      <c r="C16" s="4">
        <v>0.4</v>
      </c>
      <c r="D16" s="4">
        <v>4.8</v>
      </c>
      <c r="E16" s="4">
        <f t="shared" si="8"/>
        <v>9600</v>
      </c>
      <c r="F16" s="2"/>
      <c r="G16" s="5">
        <v>50</v>
      </c>
      <c r="H16" s="3"/>
      <c r="I16" s="3">
        <f t="shared" si="9"/>
        <v>1000</v>
      </c>
      <c r="J16" s="3">
        <f t="shared" si="10"/>
        <v>1000</v>
      </c>
      <c r="K16" s="4">
        <f t="shared" si="11"/>
        <v>4800</v>
      </c>
      <c r="L16" s="4">
        <f t="shared" si="12"/>
        <v>4800</v>
      </c>
      <c r="M16" s="4">
        <f t="shared" si="13"/>
        <v>9600</v>
      </c>
      <c r="N16" s="2"/>
      <c r="O16" s="4">
        <f t="shared" si="14"/>
        <v>0</v>
      </c>
    </row>
    <row r="17" spans="1:15" ht="14" x14ac:dyDescent="0.15">
      <c r="A17" s="2" t="s">
        <v>27</v>
      </c>
      <c r="B17" s="3">
        <v>9</v>
      </c>
      <c r="C17" s="4">
        <v>11.29</v>
      </c>
      <c r="D17" s="4">
        <v>135.47999999999999</v>
      </c>
      <c r="E17" s="4">
        <f t="shared" si="8"/>
        <v>1219.3199999999997</v>
      </c>
      <c r="F17" s="2"/>
      <c r="G17" s="5">
        <v>50</v>
      </c>
      <c r="H17" s="3"/>
      <c r="I17" s="3">
        <f t="shared" si="9"/>
        <v>5</v>
      </c>
      <c r="J17" s="3">
        <f t="shared" si="10"/>
        <v>4</v>
      </c>
      <c r="K17" s="4">
        <f t="shared" si="11"/>
        <v>677.4</v>
      </c>
      <c r="L17" s="4">
        <f t="shared" si="12"/>
        <v>541.91999999999996</v>
      </c>
      <c r="M17" s="4">
        <f t="shared" si="13"/>
        <v>1219.32</v>
      </c>
      <c r="N17" s="2"/>
      <c r="O17" s="4">
        <f t="shared" si="14"/>
        <v>0</v>
      </c>
    </row>
    <row r="18" spans="1:15" ht="14" x14ac:dyDescent="0.15">
      <c r="A18" s="2"/>
      <c r="B18" s="3"/>
      <c r="C18" s="4"/>
      <c r="D18" s="4"/>
      <c r="E18" s="4"/>
      <c r="F18" s="2"/>
      <c r="G18" s="5"/>
      <c r="H18" s="3"/>
      <c r="I18" s="3"/>
      <c r="J18" s="3"/>
      <c r="K18" s="4"/>
      <c r="L18" s="4"/>
      <c r="M18" s="4"/>
      <c r="N18" s="2"/>
      <c r="O18" s="4"/>
    </row>
    <row r="19" spans="1:15" ht="21" customHeight="1" x14ac:dyDescent="0.15">
      <c r="A19" s="6"/>
      <c r="B19" s="7">
        <f>SUM(B13:B17)</f>
        <v>2088</v>
      </c>
      <c r="C19" s="8"/>
      <c r="D19" s="8"/>
      <c r="E19" s="8">
        <f>SUM(E13:E17)</f>
        <v>34956.120000000003</v>
      </c>
      <c r="F19" s="6"/>
      <c r="G19" s="9"/>
      <c r="H19" s="7"/>
      <c r="I19" s="7">
        <f t="shared" ref="I19:M19" si="15">SUM(I13:I17)</f>
        <v>1045</v>
      </c>
      <c r="J19" s="7">
        <f t="shared" si="15"/>
        <v>1043</v>
      </c>
      <c r="K19" s="8">
        <f t="shared" si="15"/>
        <v>15636.599999999999</v>
      </c>
      <c r="L19" s="8">
        <f t="shared" si="15"/>
        <v>17287.68</v>
      </c>
      <c r="M19" s="8">
        <f t="shared" si="15"/>
        <v>32924.280000000006</v>
      </c>
      <c r="N19" s="6"/>
      <c r="O19" s="8">
        <f>SUM(O13:O17)</f>
        <v>2031.84</v>
      </c>
    </row>
    <row r="20" spans="1:15" ht="14" x14ac:dyDescent="0.15">
      <c r="A20" s="2"/>
      <c r="B20" s="3"/>
      <c r="C20" s="4"/>
      <c r="D20" s="4"/>
      <c r="E20" s="4"/>
      <c r="F20" s="2"/>
      <c r="G20" s="5"/>
      <c r="H20" s="3"/>
      <c r="I20" s="3"/>
      <c r="J20" s="3"/>
      <c r="K20" s="4"/>
      <c r="L20" s="4"/>
      <c r="M20" s="4"/>
      <c r="N20" s="2"/>
      <c r="O20" s="4"/>
    </row>
    <row r="21" spans="1:15" ht="24" customHeight="1" x14ac:dyDescent="0.15">
      <c r="A21" s="10"/>
      <c r="B21" s="11">
        <f>B8+B19</f>
        <v>2266</v>
      </c>
      <c r="C21" s="12"/>
      <c r="D21" s="12"/>
      <c r="E21" s="12">
        <f>E8+E19</f>
        <v>99724.920000000013</v>
      </c>
      <c r="F21" s="10"/>
      <c r="G21" s="13"/>
      <c r="H21" s="11"/>
      <c r="I21" s="11">
        <f t="shared" ref="I21:M21" si="16">I8+I19</f>
        <v>1149</v>
      </c>
      <c r="J21" s="11">
        <f t="shared" si="16"/>
        <v>1117</v>
      </c>
      <c r="K21" s="12">
        <f t="shared" si="16"/>
        <v>47394.6</v>
      </c>
      <c r="L21" s="12">
        <f t="shared" si="16"/>
        <v>38248.32</v>
      </c>
      <c r="M21" s="12">
        <f t="shared" si="16"/>
        <v>85642.920000000013</v>
      </c>
      <c r="N21" s="10"/>
      <c r="O21" s="12">
        <f>O8+O19</f>
        <v>14082.000000000009</v>
      </c>
    </row>
  </sheetData>
  <mergeCells count="8">
    <mergeCell ref="A1:B1"/>
    <mergeCell ref="C1:D1"/>
    <mergeCell ref="G1:J1"/>
    <mergeCell ref="K1:M1"/>
    <mergeCell ref="A11:B11"/>
    <mergeCell ref="C11:D11"/>
    <mergeCell ref="G11:J11"/>
    <mergeCell ref="K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Blackman</cp:lastModifiedBy>
  <dcterms:created xsi:type="dcterms:W3CDTF">2026-09-08T00:13:31Z</dcterms:created>
  <dcterms:modified xsi:type="dcterms:W3CDTF">2026-09-08T00:21:24Z</dcterms:modified>
</cp:coreProperties>
</file>