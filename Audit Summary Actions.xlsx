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ense Optimization" sheetId="1" r:id="rId5"/>
  </sheets>
  <definedNames/>
  <calcPr/>
</workbook>
</file>

<file path=xl/sharedStrings.xml><?xml version="1.0" encoding="utf-8"?>
<sst xmlns="http://schemas.openxmlformats.org/spreadsheetml/2006/main" count="38" uniqueCount="36">
  <si>
    <t>Microsoft 365 License Cost Optimization Tracker</t>
  </si>
  <si>
    <t>Executive Audit &amp; Waste Reduction Action Plan | Immediate Cost Savings Opportunities</t>
  </si>
  <si>
    <t>CURRENT AUDITED MONTHLY COST</t>
  </si>
  <si>
    <t>IMMEDIATE MONTHLY SAVINGS</t>
  </si>
  <si>
    <t>IMMEDIATE ANNUAL SAVINGS</t>
  </si>
  <si>
    <t>OPTIMIZATION ACTIONS</t>
  </si>
  <si>
    <t>Total monthly spend audited</t>
  </si>
  <si>
    <t>100% reclaimable monthly spend</t>
  </si>
  <si>
    <t>Projected 12-month net savings</t>
  </si>
  <si>
    <t>Immediate waste reduction items</t>
  </si>
  <si>
    <t>Action Item / License Waste Found</t>
  </si>
  <si>
    <t>Affected User(s)</t>
  </si>
  <si>
    <t>Current Monthly Cost</t>
  </si>
  <si>
    <t>Proposed Action</t>
  </si>
  <si>
    <t>Immediate Monthly Savings</t>
  </si>
  <si>
    <t>Immediate Annual Savings</t>
  </si>
  <si>
    <t>Risk Level</t>
  </si>
  <si>
    <t>Redundant Double-License: E3 already includes Plan 2</t>
  </si>
  <si>
    <t>Robert Stretton</t>
  </si>
  <si>
    <t>Remove standalone Exchange Online (Plan 2) license</t>
  </si>
  <si>
    <t>Zero Risk (E3 provides 100GB)</t>
  </si>
  <si>
    <t>Inactive User / Dormant Shared Mailbox (1.02 GB)</t>
  </si>
  <si>
    <t>Simon Sheldon (Inactive since May 2025)</t>
  </si>
  <si>
    <t>Remove license (Shared mailboxes under 50GB are 100% free)</t>
  </si>
  <si>
    <t>Zero Risk (Preserved free)</t>
  </si>
  <si>
    <t>Shared Mailbox Licensed Unnecessarily (12.75 GB)</t>
  </si>
  <si>
    <t>Chris Robertson</t>
  </si>
  <si>
    <t>Archiving Add-on on Low-Usage Inboxes (&lt;35 GB)</t>
  </si>
  <si>
    <t>Stephen Thomas (11.5 GB), Brian Hutton (17.5 GB), Rory Adams (32.9 GB)</t>
  </si>
  <si>
    <t>Remove Archiving Add-on ($7.88/user) as inbox is well under 50GB quota</t>
  </si>
  <si>
    <t>Low Risk (Standard 50GB ample)</t>
  </si>
  <si>
    <t>Barely Over 50GB Threshold (50.5 GB &amp; 52.4 GB)</t>
  </si>
  <si>
    <t>Kevin Hawthorn, Michael Handley</t>
  </si>
  <si>
    <t>Clean up deleted items / attachments to drop below 50GB</t>
  </si>
  <si>
    <t>Medium (Requires user cleanup)</t>
  </si>
  <si>
    <t>Total Immediate Optimization Potential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</si>
</sst>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16">
    <font>
      <sz val="10.0"/>
      <color rgb="FF000000"/>
      <name val="Arial"/>
      <scheme val="minor"/>
    </font>
    <font>
      <b/>
      <sz val="16.0"/>
      <color rgb="FF1E3989"/>
      <name val="Google Sans"/>
    </font>
    <font>
      <sz val="10.0"/>
      <color rgb="FF666672"/>
      <name val="Google Sans"/>
    </font>
    <font>
      <b/>
      <sz val="9.0"/>
      <color rgb="FF596072"/>
      <name val="Google Sans"/>
    </font>
    <font/>
    <font>
      <b/>
      <sz val="18.0"/>
      <color rgb="FF1E3A89"/>
      <name val="Google Sans"/>
    </font>
    <font>
      <b/>
      <sz val="18.0"/>
      <color rgb="FF0F7547"/>
      <name val="Google Sans"/>
    </font>
    <font>
      <b/>
      <sz val="18.0"/>
      <color rgb="FF0A5E38"/>
      <name val="Google Sans"/>
    </font>
    <font>
      <b/>
      <sz val="18.0"/>
      <color rgb="FF333847"/>
      <name val="Google Sans"/>
    </font>
    <font>
      <sz val="8.0"/>
      <color rgb="FF727A8C"/>
      <name val="Google Sans"/>
    </font>
    <font>
      <b/>
      <sz val="10.0"/>
      <color rgb="FFFFFFFF"/>
      <name val="Google Sans"/>
    </font>
    <font>
      <sz val="10.0"/>
      <color rgb="FF1E283A"/>
      <name val="Google Sans"/>
    </font>
    <font>
      <b/>
      <sz val="9.0"/>
      <color rgb="FF147233"/>
      <name val="Google Sans"/>
    </font>
    <font>
      <b/>
      <sz val="9.0"/>
      <color rgb="FF07598C"/>
      <name val="Google Sans"/>
    </font>
    <font>
      <b/>
      <sz val="9.0"/>
      <color rgb="FF994C0C"/>
      <name val="Google Sans"/>
    </font>
    <font>
      <b/>
      <sz val="10.0"/>
      <color rgb="FF19263F"/>
      <name val="Google Sans"/>
    </font>
  </fonts>
  <fills count="13">
    <fill>
      <patternFill patternType="none"/>
    </fill>
    <fill>
      <patternFill patternType="lightGray"/>
    </fill>
    <fill>
      <patternFill patternType="solid">
        <fgColor rgb="FFF4F7FF"/>
        <bgColor rgb="FFF4F7FF"/>
      </patternFill>
    </fill>
    <fill>
      <patternFill patternType="solid">
        <fgColor rgb="FFEDF9F2"/>
        <bgColor rgb="FFEDF9F2"/>
      </patternFill>
    </fill>
    <fill>
      <patternFill patternType="solid">
        <fgColor rgb="FFE8F4ED"/>
        <bgColor rgb="FFE8F4ED"/>
      </patternFill>
    </fill>
    <fill>
      <patternFill patternType="solid">
        <fgColor rgb="FFF7F7F9"/>
        <bgColor rgb="FFF7F7F9"/>
      </patternFill>
    </fill>
    <fill>
      <patternFill patternType="solid">
        <fgColor rgb="FF1E3989"/>
        <bgColor rgb="FF1E3989"/>
      </patternFill>
    </fill>
    <fill>
      <patternFill patternType="solid">
        <fgColor rgb="FFFFFFFF"/>
        <bgColor rgb="FFFFFFFF"/>
      </patternFill>
    </fill>
    <fill>
      <patternFill patternType="solid">
        <fgColor rgb="FFDBF7E5"/>
        <bgColor rgb="FFDBF7E5"/>
      </patternFill>
    </fill>
    <fill>
      <patternFill patternType="solid">
        <fgColor rgb="FFF6F8FC"/>
        <bgColor rgb="FFF6F8FC"/>
      </patternFill>
    </fill>
    <fill>
      <patternFill patternType="solid">
        <fgColor rgb="FFE0EFFC"/>
        <bgColor rgb="FFE0EFFC"/>
      </patternFill>
    </fill>
    <fill>
      <patternFill patternType="solid">
        <fgColor rgb="FFFFF2CC"/>
        <bgColor rgb="FFFFF2CC"/>
      </patternFill>
    </fill>
    <fill>
      <patternFill patternType="solid">
        <fgColor rgb="FFEDF2F9"/>
        <bgColor rgb="FFEDF2F9"/>
      </patternFill>
    </fill>
  </fills>
  <borders count="10">
    <border/>
    <border>
      <left style="thin">
        <color rgb="FFD1D8EA"/>
      </left>
      <top style="thin">
        <color rgb="FFD1D8EA"/>
      </top>
      <bottom style="thin">
        <color rgb="FFD1D8EA"/>
      </bottom>
    </border>
    <border>
      <right style="thin">
        <color rgb="FFD1D8EA"/>
      </right>
      <top style="thin">
        <color rgb="FFD1D8EA"/>
      </top>
      <bottom style="thin">
        <color rgb="FFD1D8EA"/>
      </bottom>
    </border>
    <border>
      <left style="thin">
        <color rgb="FFBFE0CC"/>
      </left>
      <top style="thin">
        <color rgb="FFBFE0CC"/>
      </top>
      <bottom style="thin">
        <color rgb="FFBFE0CC"/>
      </bottom>
    </border>
    <border>
      <right style="thin">
        <color rgb="FFBFE0CC"/>
      </right>
      <top style="thin">
        <color rgb="FFBFE0CC"/>
      </top>
      <bottom style="thin">
        <color rgb="FFBFE0CC"/>
      </bottom>
    </border>
    <border>
      <left style="thin">
        <color rgb="FFB2D8BF"/>
      </left>
      <top style="thin">
        <color rgb="FFB2D8BF"/>
      </top>
      <bottom style="thin">
        <color rgb="FFB2D8BF"/>
      </bottom>
    </border>
    <border>
      <right style="thin">
        <color rgb="FFB2D8BF"/>
      </right>
      <top style="thin">
        <color rgb="FFB2D8BF"/>
      </top>
      <bottom style="thin">
        <color rgb="FFB2D8BF"/>
      </bottom>
    </border>
    <border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</border>
    <border>
      <top style="thin">
        <color rgb="FFE2E8EF"/>
      </top>
      <bottom style="thin">
        <color rgb="FFE2E8EF"/>
      </bottom>
    </border>
    <border>
      <top style="medium">
        <color rgb="FF667A99"/>
      </top>
      <bottom style="double">
        <color rgb="FF667A9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top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4" fontId="3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5" fontId="3" numFmtId="0" xfId="0" applyAlignment="1" applyBorder="1" applyFill="1" applyFont="1">
      <alignment horizontal="center" readingOrder="0" vertical="center"/>
    </xf>
    <xf borderId="1" fillId="2" fontId="5" numFmtId="164" xfId="0" applyAlignment="1" applyBorder="1" applyFill="1" applyFont="1" applyNumberFormat="1">
      <alignment horizontal="center" vertical="center"/>
    </xf>
    <xf borderId="3" fillId="3" fontId="6" numFmtId="164" xfId="0" applyAlignment="1" applyBorder="1" applyFill="1" applyFont="1" applyNumberFormat="1">
      <alignment horizontal="center" vertical="center"/>
    </xf>
    <xf borderId="5" fillId="4" fontId="7" numFmtId="164" xfId="0" applyAlignment="1" applyBorder="1" applyFill="1" applyFont="1" applyNumberFormat="1">
      <alignment horizontal="center" vertical="center"/>
    </xf>
    <xf borderId="7" fillId="5" fontId="8" numFmtId="3" xfId="0" applyAlignment="1" applyBorder="1" applyFill="1" applyFont="1" applyNumberFormat="1">
      <alignment horizontal="center" vertical="center"/>
    </xf>
    <xf borderId="1" fillId="2" fontId="9" numFmtId="0" xfId="0" applyAlignment="1" applyBorder="1" applyFill="1" applyFont="1">
      <alignment horizontal="center" readingOrder="0" vertical="top"/>
    </xf>
    <xf borderId="3" fillId="3" fontId="9" numFmtId="0" xfId="0" applyAlignment="1" applyBorder="1" applyFill="1" applyFont="1">
      <alignment horizontal="center" readingOrder="0" vertical="top"/>
    </xf>
    <xf borderId="5" fillId="4" fontId="9" numFmtId="0" xfId="0" applyAlignment="1" applyBorder="1" applyFill="1" applyFont="1">
      <alignment horizontal="center" readingOrder="0" vertical="top"/>
    </xf>
    <xf borderId="7" fillId="5" fontId="9" numFmtId="0" xfId="0" applyAlignment="1" applyBorder="1" applyFill="1" applyFont="1">
      <alignment horizontal="center" readingOrder="0" vertical="top"/>
    </xf>
    <xf borderId="0" fillId="6" fontId="10" numFmtId="0" xfId="0" applyAlignment="1" applyFill="1" applyFont="1">
      <alignment readingOrder="0" shrinkToFit="0" vertical="center" wrapText="1"/>
    </xf>
    <xf borderId="0" fillId="6" fontId="10" numFmtId="0" xfId="0" applyAlignment="1" applyFill="1" applyFont="1">
      <alignment horizontal="right" readingOrder="0" shrinkToFit="0" vertical="center" wrapText="1"/>
    </xf>
    <xf borderId="0" fillId="6" fontId="10" numFmtId="0" xfId="0" applyAlignment="1" applyFill="1" applyFont="1">
      <alignment horizontal="center" readingOrder="0" shrinkToFit="0" vertical="center" wrapText="1"/>
    </xf>
    <xf borderId="8" fillId="7" fontId="11" numFmtId="0" xfId="0" applyAlignment="1" applyBorder="1" applyFill="1" applyFont="1">
      <alignment readingOrder="0" shrinkToFit="0" vertical="center" wrapText="1"/>
    </xf>
    <xf borderId="8" fillId="7" fontId="11" numFmtId="164" xfId="0" applyAlignment="1" applyBorder="1" applyFill="1" applyFont="1" applyNumberFormat="1">
      <alignment horizontal="right" readingOrder="0" shrinkToFit="0" vertical="center" wrapText="1"/>
    </xf>
    <xf borderId="8" fillId="8" fontId="12" numFmtId="0" xfId="0" applyAlignment="1" applyBorder="1" applyFill="1" applyFont="1">
      <alignment horizontal="center" readingOrder="0" shrinkToFit="0" vertical="center" wrapText="1"/>
    </xf>
    <xf borderId="8" fillId="9" fontId="11" numFmtId="0" xfId="0" applyAlignment="1" applyBorder="1" applyFill="1" applyFont="1">
      <alignment readingOrder="0" shrinkToFit="0" vertical="center" wrapText="1"/>
    </xf>
    <xf borderId="8" fillId="9" fontId="11" numFmtId="164" xfId="0" applyAlignment="1" applyBorder="1" applyFill="1" applyFont="1" applyNumberFormat="1">
      <alignment horizontal="right" readingOrder="0" shrinkToFit="0" vertical="center" wrapText="1"/>
    </xf>
    <xf borderId="8" fillId="10" fontId="13" numFmtId="0" xfId="0" applyAlignment="1" applyBorder="1" applyFill="1" applyFont="1">
      <alignment horizontal="center" readingOrder="0" shrinkToFit="0" vertical="center" wrapText="1"/>
    </xf>
    <xf borderId="8" fillId="11" fontId="14" numFmtId="0" xfId="0" applyAlignment="1" applyBorder="1" applyFill="1" applyFont="1">
      <alignment horizontal="center" readingOrder="0" shrinkToFit="0" vertical="center" wrapText="1"/>
    </xf>
    <xf borderId="9" fillId="12" fontId="15" numFmtId="0" xfId="0" applyAlignment="1" applyBorder="1" applyFill="1" applyFont="1">
      <alignment readingOrder="0" shrinkToFit="0" vertical="center" wrapText="1"/>
    </xf>
    <xf borderId="9" fillId="12" fontId="15" numFmtId="0" xfId="0" applyAlignment="1" applyBorder="1" applyFill="1" applyFont="1">
      <alignment shrinkToFit="0" vertical="center" wrapText="1"/>
    </xf>
    <xf borderId="9" fillId="12" fontId="15" numFmtId="164" xfId="0" applyAlignment="1" applyBorder="1" applyFill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5.13"/>
    <col customWidth="1" min="2" max="2" width="31.38"/>
    <col customWidth="1" min="3" max="3" width="17.0"/>
    <col customWidth="1" min="4" max="4" width="40.13"/>
    <col customWidth="1" min="5" max="6" width="18.88"/>
    <col customWidth="1" min="7" max="7" width="23.88"/>
  </cols>
  <sheetData>
    <row r="1" ht="28.5" customHeight="1">
      <c r="A1" s="1" t="s">
        <v>0</v>
      </c>
    </row>
    <row r="2" ht="16.5" customHeight="1">
      <c r="A2" s="2" t="s">
        <v>1</v>
      </c>
    </row>
    <row r="3" ht="16.5" customHeight="1">
      <c r="A3" s="3" t="s">
        <v>2</v>
      </c>
      <c r="B3" s="4"/>
      <c r="C3" s="5" t="s">
        <v>3</v>
      </c>
      <c r="D3" s="6"/>
      <c r="E3" s="7" t="s">
        <v>4</v>
      </c>
      <c r="F3" s="8"/>
      <c r="G3" s="9" t="s">
        <v>5</v>
      </c>
    </row>
    <row r="4" ht="27.0" customHeight="1">
      <c r="A4" s="10">
        <f>C13</f>
        <v>80.09</v>
      </c>
      <c r="B4" s="4"/>
      <c r="C4" s="11">
        <f>E13</f>
        <v>80.09</v>
      </c>
      <c r="D4" s="6"/>
      <c r="E4" s="12">
        <f>F13</f>
        <v>961.08</v>
      </c>
      <c r="F4" s="8"/>
      <c r="G4" s="13">
        <f>COUNTA(A8:A12)</f>
        <v>5</v>
      </c>
    </row>
    <row r="5" ht="15.0" customHeight="1">
      <c r="A5" s="14" t="s">
        <v>6</v>
      </c>
      <c r="B5" s="4"/>
      <c r="C5" s="15" t="s">
        <v>7</v>
      </c>
      <c r="D5" s="6"/>
      <c r="E5" s="16" t="s">
        <v>8</v>
      </c>
      <c r="F5" s="8"/>
      <c r="G5" s="17" t="s">
        <v>9</v>
      </c>
    </row>
    <row r="6" ht="12.0" customHeight="1"/>
    <row r="7" ht="25.5" customHeight="1">
      <c r="A7" s="18" t="s">
        <v>10</v>
      </c>
      <c r="B7" s="18" t="s">
        <v>11</v>
      </c>
      <c r="C7" s="19" t="s">
        <v>12</v>
      </c>
      <c r="D7" s="18" t="s">
        <v>13</v>
      </c>
      <c r="E7" s="19" t="s">
        <v>14</v>
      </c>
      <c r="F7" s="19" t="s">
        <v>15</v>
      </c>
      <c r="G7" s="20" t="s">
        <v>16</v>
      </c>
    </row>
    <row r="8">
      <c r="A8" s="21" t="s">
        <v>17</v>
      </c>
      <c r="B8" s="21" t="s">
        <v>18</v>
      </c>
      <c r="C8" s="22">
        <v>11.29</v>
      </c>
      <c r="D8" s="21" t="s">
        <v>19</v>
      </c>
      <c r="E8" s="22">
        <v>11.29</v>
      </c>
      <c r="F8" s="22">
        <v>135.48</v>
      </c>
      <c r="G8" s="23" t="s">
        <v>20</v>
      </c>
    </row>
    <row r="9">
      <c r="A9" s="24" t="s">
        <v>21</v>
      </c>
      <c r="B9" s="24" t="s">
        <v>22</v>
      </c>
      <c r="C9" s="25">
        <v>11.29</v>
      </c>
      <c r="D9" s="24" t="s">
        <v>23</v>
      </c>
      <c r="E9" s="25">
        <v>11.29</v>
      </c>
      <c r="F9" s="25">
        <v>135.48</v>
      </c>
      <c r="G9" s="23" t="s">
        <v>24</v>
      </c>
    </row>
    <row r="10">
      <c r="A10" s="21" t="s">
        <v>25</v>
      </c>
      <c r="B10" s="21" t="s">
        <v>26</v>
      </c>
      <c r="C10" s="22">
        <v>11.29</v>
      </c>
      <c r="D10" s="21" t="s">
        <v>23</v>
      </c>
      <c r="E10" s="22">
        <v>11.29</v>
      </c>
      <c r="F10" s="22">
        <v>135.48</v>
      </c>
      <c r="G10" s="23" t="s">
        <v>24</v>
      </c>
    </row>
    <row r="11">
      <c r="A11" s="24" t="s">
        <v>27</v>
      </c>
      <c r="B11" s="24" t="s">
        <v>28</v>
      </c>
      <c r="C11" s="25">
        <v>23.64</v>
      </c>
      <c r="D11" s="24" t="s">
        <v>29</v>
      </c>
      <c r="E11" s="25">
        <v>23.64</v>
      </c>
      <c r="F11" s="25">
        <v>283.68</v>
      </c>
      <c r="G11" s="26" t="s">
        <v>30</v>
      </c>
    </row>
    <row r="12">
      <c r="A12" s="21" t="s">
        <v>31</v>
      </c>
      <c r="B12" s="21" t="s">
        <v>32</v>
      </c>
      <c r="C12" s="22">
        <v>22.58</v>
      </c>
      <c r="D12" s="21" t="s">
        <v>33</v>
      </c>
      <c r="E12" s="22">
        <v>22.58</v>
      </c>
      <c r="F12" s="22">
        <v>270.96</v>
      </c>
      <c r="G12" s="27" t="s">
        <v>34</v>
      </c>
    </row>
    <row r="13">
      <c r="A13" s="28" t="s">
        <v>35</v>
      </c>
      <c r="B13" s="29"/>
      <c r="C13" s="30">
        <f>SUM(C8:C12)</f>
        <v>80.09</v>
      </c>
      <c r="D13" s="29"/>
      <c r="E13" s="30">
        <f t="shared" ref="E13:F13" si="1">SUM(E8:E12)</f>
        <v>80.09</v>
      </c>
      <c r="F13" s="30">
        <f t="shared" si="1"/>
        <v>961.08</v>
      </c>
      <c r="G13" s="29"/>
    </row>
  </sheetData>
  <mergeCells count="11">
    <mergeCell ref="C3:D3"/>
    <mergeCell ref="E3:F3"/>
    <mergeCell ref="E4:F4"/>
    <mergeCell ref="E5:F5"/>
    <mergeCell ref="A1:G1"/>
    <mergeCell ref="A2:G2"/>
    <mergeCell ref="A3:B3"/>
    <mergeCell ref="A4:B4"/>
    <mergeCell ref="A5:B5"/>
    <mergeCell ref="C4:D4"/>
    <mergeCell ref="C5:D5"/>
  </mergeCells>
  <drawing r:id="rId1"/>
</worksheet>
</file>